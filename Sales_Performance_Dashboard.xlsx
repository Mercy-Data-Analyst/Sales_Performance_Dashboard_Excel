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nselem\Desktop\python_class\project1\sales_performance_dashboard_excel\"/>
    </mc:Choice>
  </mc:AlternateContent>
  <xr:revisionPtr revIDLastSave="0" documentId="13_ncr:1_{CCCF3010-D332-44BE-8BCE-2813AA4913A8}" xr6:coauthVersionLast="47" xr6:coauthVersionMax="47" xr10:uidLastSave="{00000000-0000-0000-0000-000000000000}"/>
  <bookViews>
    <workbookView xWindow="-120" yWindow="-120" windowWidth="19800" windowHeight="11760" firstSheet="2" activeTab="4" xr2:uid="{00000000-000D-0000-FFFF-FFFF00000000}"/>
  </bookViews>
  <sheets>
    <sheet name=" Sales Oirginal Dataset" sheetId="1" r:id="rId1"/>
    <sheet name="Sales Dataset Cleaning" sheetId="17" r:id="rId2"/>
    <sheet name="Pivot Table" sheetId="18" r:id="rId3"/>
    <sheet name="Sheet1" sheetId="20" r:id="rId4"/>
    <sheet name="Dashboard1" sheetId="19" r:id="rId5"/>
    <sheet name="Dashboard" sheetId="15" state="hidden" r:id="rId6"/>
  </sheets>
  <definedNames>
    <definedName name="_xlcn.WorksheetConnection_MobilePhoneSalesDataset.xlsxMobile_Phone_Sales" hidden="1">Mobile_Phone_Sales[]</definedName>
    <definedName name="ExternalData_1" localSheetId="1" hidden="1">'Sales Dataset Cleaning'!$A$1:$U$304</definedName>
    <definedName name="Slicer_Brand">#N/A</definedName>
    <definedName name="Slicer_Country">#N/A</definedName>
    <definedName name="Slicer_Operating_System">#N/A</definedName>
    <definedName name="Timeline_Transaction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Mobile_Phone_Sales" name="Mobile_Phone_Sales" connection="WorksheetConnection_Mobile Phone Sales Dataset.xlsx!Mobile_Phone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8" l="1"/>
  <c r="G5" i="18"/>
  <c r="E5" i="18"/>
  <c r="C5" i="18"/>
  <c r="A5" i="18"/>
  <c r="N304" i="17"/>
  <c r="N303" i="17"/>
  <c r="N302" i="17"/>
  <c r="N301" i="17"/>
  <c r="N300" i="17"/>
  <c r="N299" i="17"/>
  <c r="N298" i="17"/>
  <c r="N297" i="17"/>
  <c r="N296" i="17"/>
  <c r="N295" i="17"/>
  <c r="N294" i="17"/>
  <c r="N293" i="17"/>
  <c r="N292" i="17"/>
  <c r="N291" i="17"/>
  <c r="N290" i="17"/>
  <c r="N289" i="17"/>
  <c r="N288" i="17"/>
  <c r="N287" i="17"/>
  <c r="N286" i="17"/>
  <c r="N285" i="17"/>
  <c r="N284" i="17"/>
  <c r="N283" i="17"/>
  <c r="N282" i="17"/>
  <c r="N281" i="17"/>
  <c r="N280" i="17"/>
  <c r="N279" i="17"/>
  <c r="N278" i="17"/>
  <c r="N277" i="17"/>
  <c r="N276" i="17"/>
  <c r="N275" i="17"/>
  <c r="N274" i="17"/>
  <c r="N273" i="17"/>
  <c r="N272" i="17"/>
  <c r="N271" i="17"/>
  <c r="N270" i="17"/>
  <c r="N269" i="17"/>
  <c r="N268" i="17"/>
  <c r="N267" i="17"/>
  <c r="N266" i="17"/>
  <c r="N265" i="17"/>
  <c r="N264" i="17"/>
  <c r="N263" i="17"/>
  <c r="N262" i="17"/>
  <c r="N261" i="17"/>
  <c r="N260" i="17"/>
  <c r="N259" i="17"/>
  <c r="N258" i="17"/>
  <c r="N257" i="17"/>
  <c r="N256" i="17"/>
  <c r="N255" i="17"/>
  <c r="N254" i="17"/>
  <c r="N253" i="17"/>
  <c r="N252" i="17"/>
  <c r="N251" i="17"/>
  <c r="N250" i="17"/>
  <c r="N249" i="17"/>
  <c r="N248" i="17"/>
  <c r="N247" i="17"/>
  <c r="N246" i="17"/>
  <c r="N245" i="17"/>
  <c r="N244" i="17"/>
  <c r="N243" i="17"/>
  <c r="N242" i="17"/>
  <c r="N241" i="17"/>
  <c r="N240" i="17"/>
  <c r="N239" i="17"/>
  <c r="N238" i="17"/>
  <c r="N237" i="17"/>
  <c r="N236" i="17"/>
  <c r="N235" i="17"/>
  <c r="N234" i="17"/>
  <c r="N233" i="17"/>
  <c r="N232" i="17"/>
  <c r="N231" i="17"/>
  <c r="N230" i="17"/>
  <c r="N229" i="17"/>
  <c r="N228" i="17"/>
  <c r="N227" i="17"/>
  <c r="N226" i="17"/>
  <c r="N225" i="17"/>
  <c r="N224" i="17"/>
  <c r="N223" i="17"/>
  <c r="N222" i="17"/>
  <c r="N221" i="17"/>
  <c r="N220" i="17"/>
  <c r="N219" i="17"/>
  <c r="N218" i="17"/>
  <c r="N217" i="17"/>
  <c r="N216" i="17"/>
  <c r="N215" i="17"/>
  <c r="N214" i="17"/>
  <c r="N213" i="17"/>
  <c r="N212" i="17"/>
  <c r="N211" i="17"/>
  <c r="N210" i="17"/>
  <c r="N209" i="17"/>
  <c r="N208" i="17"/>
  <c r="N207" i="17"/>
  <c r="N206" i="17"/>
  <c r="N205" i="17"/>
  <c r="N204" i="17"/>
  <c r="N203" i="17"/>
  <c r="N202" i="17"/>
  <c r="N201" i="17"/>
  <c r="N200" i="17"/>
  <c r="N199" i="17"/>
  <c r="N198" i="17"/>
  <c r="N197" i="17"/>
  <c r="N196" i="17"/>
  <c r="N195" i="17"/>
  <c r="N194" i="17"/>
  <c r="N193" i="17"/>
  <c r="N192" i="17"/>
  <c r="N191" i="17"/>
  <c r="N190" i="17"/>
  <c r="N189" i="17"/>
  <c r="N188" i="17"/>
  <c r="N187" i="17"/>
  <c r="N186" i="17"/>
  <c r="N185" i="17"/>
  <c r="N184" i="17"/>
  <c r="N183" i="17"/>
  <c r="N182" i="17"/>
  <c r="N181" i="17"/>
  <c r="N180" i="17"/>
  <c r="N179" i="17"/>
  <c r="N178" i="17"/>
  <c r="N177" i="17"/>
  <c r="N176" i="17"/>
  <c r="N175" i="17"/>
  <c r="N174" i="17"/>
  <c r="N173" i="17"/>
  <c r="N172" i="17"/>
  <c r="N171" i="17"/>
  <c r="N170" i="17"/>
  <c r="N169" i="17"/>
  <c r="N168" i="17"/>
  <c r="N167" i="17"/>
  <c r="N166" i="17"/>
  <c r="N165" i="17"/>
  <c r="N164" i="17"/>
  <c r="N163" i="17"/>
  <c r="N162" i="17"/>
  <c r="N161" i="17"/>
  <c r="N160" i="17"/>
  <c r="N159" i="17"/>
  <c r="N158" i="17"/>
  <c r="N157" i="17"/>
  <c r="N156" i="17"/>
  <c r="N155" i="17"/>
  <c r="N154" i="17"/>
  <c r="N153" i="17"/>
  <c r="N152" i="17"/>
  <c r="N151" i="17"/>
  <c r="N150" i="17"/>
  <c r="N149" i="17"/>
  <c r="N148" i="17"/>
  <c r="N147" i="17"/>
  <c r="N146" i="17"/>
  <c r="N145" i="17"/>
  <c r="N144" i="17"/>
  <c r="N143" i="17"/>
  <c r="N142" i="17"/>
  <c r="N141" i="17"/>
  <c r="N140" i="17"/>
  <c r="N139" i="17"/>
  <c r="N138" i="17"/>
  <c r="N137" i="17"/>
  <c r="N136" i="17"/>
  <c r="N135" i="17"/>
  <c r="N134" i="17"/>
  <c r="N133" i="17"/>
  <c r="N132" i="17"/>
  <c r="N131" i="17"/>
  <c r="N130" i="17"/>
  <c r="N129" i="17"/>
  <c r="N128" i="17"/>
  <c r="N127" i="17"/>
  <c r="N126" i="17"/>
  <c r="N125" i="17"/>
  <c r="N124" i="17"/>
  <c r="N123" i="17"/>
  <c r="N122" i="17"/>
  <c r="N121" i="17"/>
  <c r="N120" i="17"/>
  <c r="N119" i="17"/>
  <c r="N118" i="17"/>
  <c r="N117" i="17"/>
  <c r="N116" i="17"/>
  <c r="N115" i="17"/>
  <c r="N114" i="17"/>
  <c r="N113" i="17"/>
  <c r="N112" i="17"/>
  <c r="N111" i="17"/>
  <c r="N110" i="17"/>
  <c r="N109" i="17"/>
  <c r="N108" i="17"/>
  <c r="N107" i="17"/>
  <c r="N106" i="17"/>
  <c r="N105" i="17"/>
  <c r="N104" i="17"/>
  <c r="N103" i="17"/>
  <c r="N102" i="17"/>
  <c r="N101" i="17"/>
  <c r="N100" i="17"/>
  <c r="N99" i="17"/>
  <c r="N98" i="17"/>
  <c r="N97" i="17"/>
  <c r="N96" i="17"/>
  <c r="N95" i="17"/>
  <c r="N94" i="17"/>
  <c r="N93" i="17"/>
  <c r="N92" i="17"/>
  <c r="N91" i="17"/>
  <c r="N90" i="17"/>
  <c r="N89" i="17"/>
  <c r="N88" i="17"/>
  <c r="N87" i="17"/>
  <c r="N86" i="17"/>
  <c r="N85" i="17"/>
  <c r="N84" i="17"/>
  <c r="N83" i="17"/>
  <c r="N82" i="17"/>
  <c r="N81" i="17"/>
  <c r="N80" i="17"/>
  <c r="N79" i="17"/>
  <c r="N78" i="17"/>
  <c r="N77" i="17"/>
  <c r="N76" i="17"/>
  <c r="N75" i="17"/>
  <c r="N74" i="17"/>
  <c r="N73" i="17"/>
  <c r="N72" i="17"/>
  <c r="N71" i="17"/>
  <c r="N70" i="17"/>
  <c r="N69" i="17"/>
  <c r="N68" i="17"/>
  <c r="N67" i="17"/>
  <c r="N66" i="17"/>
  <c r="N65" i="17"/>
  <c r="N64" i="17"/>
  <c r="N63" i="17"/>
  <c r="N62" i="17"/>
  <c r="N61" i="17"/>
  <c r="N60" i="17"/>
  <c r="N59" i="17"/>
  <c r="N58" i="17"/>
  <c r="N57" i="17"/>
  <c r="N56" i="17"/>
  <c r="N55" i="17"/>
  <c r="N54" i="17"/>
  <c r="N53" i="17"/>
  <c r="N52" i="17"/>
  <c r="N51" i="17"/>
  <c r="N50" i="17"/>
  <c r="N49" i="17"/>
  <c r="N48" i="17"/>
  <c r="N47" i="17"/>
  <c r="N46" i="17"/>
  <c r="N45" i="17"/>
  <c r="N44" i="17"/>
  <c r="N43" i="17"/>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N14" i="17"/>
  <c r="N13" i="17"/>
  <c r="N12" i="17"/>
  <c r="N11" i="17"/>
  <c r="N10" i="17"/>
  <c r="N9" i="17"/>
  <c r="N8" i="17"/>
  <c r="N7" i="17"/>
  <c r="N6" i="17"/>
  <c r="N5" i="17"/>
  <c r="N4" i="17"/>
  <c r="N3" i="17"/>
  <c r="N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939D0F-D4D0-489D-AE40-2648EDB9E0B2}"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F46D018D-29C3-40EB-87F7-4B81238D887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6734C5A-8797-42FF-9EC6-87F95000977B}" name="WorksheetConnection_Mobile Phone Sales Dataset.xlsx!Mobile_Phone_Sales" type="102" refreshedVersion="7" minRefreshableVersion="5">
    <extLst>
      <ext xmlns:x15="http://schemas.microsoft.com/office/spreadsheetml/2010/11/main" uri="{DE250136-89BD-433C-8126-D09CA5730AF9}">
        <x15:connection id="Mobile_Phone_Sales" autoDelete="1">
          <x15:rangePr sourceName="_xlcn.WorksheetConnection_MobilePhoneSalesDataset.xlsxMobile_Phone_Sales"/>
        </x15:connection>
      </ext>
    </extLst>
  </connection>
</connections>
</file>

<file path=xl/sharedStrings.xml><?xml version="1.0" encoding="utf-8"?>
<sst xmlns="http://schemas.openxmlformats.org/spreadsheetml/2006/main" count="8788" uniqueCount="443">
  <si>
    <t>Transaction_ID</t>
  </si>
  <si>
    <t>Transaction_Date</t>
  </si>
  <si>
    <t>End of Month</t>
  </si>
  <si>
    <t>Mobile_Model</t>
  </si>
  <si>
    <t>Brand</t>
  </si>
  <si>
    <t>Storage_Size</t>
  </si>
  <si>
    <t>Color</t>
  </si>
  <si>
    <t>Operating_System</t>
  </si>
  <si>
    <t>Price</t>
  </si>
  <si>
    <t>Units_Sold</t>
  </si>
  <si>
    <t>Total_Revenue</t>
  </si>
  <si>
    <t>Sales_Channel</t>
  </si>
  <si>
    <t>Payment_Type</t>
  </si>
  <si>
    <t>Customer_Age</t>
  </si>
  <si>
    <t>Customer_Age_Group</t>
  </si>
  <si>
    <t>Customer_Gender</t>
  </si>
  <si>
    <t>Country</t>
  </si>
  <si>
    <t>City</t>
  </si>
  <si>
    <t>Latitude</t>
  </si>
  <si>
    <t>Longitude</t>
  </si>
  <si>
    <t>3a59ca6b-4f80-443f-9925-c6471b119fc5</t>
  </si>
  <si>
    <t>Pixel 8a</t>
  </si>
  <si>
    <t>Google</t>
  </si>
  <si>
    <t>128GB</t>
  </si>
  <si>
    <t>Blue</t>
  </si>
  <si>
    <t>Android</t>
  </si>
  <si>
    <t>Online</t>
  </si>
  <si>
    <t>UPI</t>
  </si>
  <si>
    <t>34-41</t>
  </si>
  <si>
    <t>Male</t>
  </si>
  <si>
    <t>Pakistan</t>
  </si>
  <si>
    <t>Lahore</t>
  </si>
  <si>
    <t>45cf6d15-4c86-4367-ada7-cdb67dc97ae2</t>
  </si>
  <si>
    <t>256GB</t>
  </si>
  <si>
    <t>White</t>
  </si>
  <si>
    <t>Partner</t>
  </si>
  <si>
    <t>Cash</t>
  </si>
  <si>
    <t>50-57</t>
  </si>
  <si>
    <t>Other</t>
  </si>
  <si>
    <t>Multan</t>
  </si>
  <si>
    <t>4053c488-2914-4b4b-add0-8b8ae200f475</t>
  </si>
  <si>
    <t>OnePlus 11R</t>
  </si>
  <si>
    <t>OnePlus</t>
  </si>
  <si>
    <t>Green</t>
  </si>
  <si>
    <t>EMI</t>
  </si>
  <si>
    <t>Female</t>
  </si>
  <si>
    <t>Bangladesh</t>
  </si>
  <si>
    <t>Chittagong</t>
  </si>
  <si>
    <t>fdd350a0-77de-454d-af2d-d1533913542a</t>
  </si>
  <si>
    <t>Redmi Note 13</t>
  </si>
  <si>
    <t>Xiaomi</t>
  </si>
  <si>
    <t>Credit Card</t>
  </si>
  <si>
    <t>26-33</t>
  </si>
  <si>
    <t>Turkey</t>
  </si>
  <si>
    <t>Bursa</t>
  </si>
  <si>
    <t>5162e904-aa16-4967-9471-d242b21d3246</t>
  </si>
  <si>
    <t>Z Fold 6</t>
  </si>
  <si>
    <t>Samsung</t>
  </si>
  <si>
    <t>Black</t>
  </si>
  <si>
    <t>42-49</t>
  </si>
  <si>
    <t>Rajshahi</t>
  </si>
  <si>
    <t>e5fe1da0-0668-427f-bd36-e85f30bda556</t>
  </si>
  <si>
    <t>Antalya</t>
  </si>
  <si>
    <t>da4642e3-1c75-4406-b832-430f7cec5ff5</t>
  </si>
  <si>
    <t>Xiaomi 14 Ultra</t>
  </si>
  <si>
    <t>Retail Store</t>
  </si>
  <si>
    <t>58-65</t>
  </si>
  <si>
    <t>79397f68-61ed-4ea8-bcb2-f918d4e6c05b</t>
  </si>
  <si>
    <t>India</t>
  </si>
  <si>
    <t>Pune</t>
  </si>
  <si>
    <t>2caec01b-6e79-421c-b260-cc638113098a</t>
  </si>
  <si>
    <t>64GB</t>
  </si>
  <si>
    <t>Red</t>
  </si>
  <si>
    <t>Istanbul</t>
  </si>
  <si>
    <t>3949fd33-ae2e-4099-b7bb-ec0a8d0f5cc6</t>
  </si>
  <si>
    <t>Poco X6 Pro</t>
  </si>
  <si>
    <t>Dhaka</t>
  </si>
  <si>
    <t>fe80a264-a2ac-45ae-80ea-c67c6ba9a045</t>
  </si>
  <si>
    <t>Pixel 9</t>
  </si>
  <si>
    <t>d000d275-0110-4e7c-8087-93cd96e0f30b</t>
  </si>
  <si>
    <t>OnePlus Nord 4</t>
  </si>
  <si>
    <t>0d2da590-d5ac-4a38-8f0a-9c668bc549a7</t>
  </si>
  <si>
    <t>Mi 13T Pro</t>
  </si>
  <si>
    <t>Delhi</t>
  </si>
  <si>
    <t>26760d0b-ece5-48d9-906f-6511c119a434</t>
  </si>
  <si>
    <t>Pixel 9 Pro</t>
  </si>
  <si>
    <t>2e531f19-941b-4e8c-83db-16ba3e5eca52</t>
  </si>
  <si>
    <t>18-25</t>
  </si>
  <si>
    <t>Hyderabad</t>
  </si>
  <si>
    <t>963677f8-ebd9-4a9c-a90e-a17d3c479fde</t>
  </si>
  <si>
    <t>23dd9a36-c55f-43a3-bf42-481f3e0ee6a3</t>
  </si>
  <si>
    <t>Jaipur</t>
  </si>
  <si>
    <t>56dbc213-6328-4647-ba24-251ee088c5d0</t>
  </si>
  <si>
    <t>ed544e0a-5f6d-4e30-aa78-0182fa0d2d59</t>
  </si>
  <si>
    <t>Izmir</t>
  </si>
  <si>
    <t>b563bdbe-055d-41a8-8cea-06be0db9c82c</t>
  </si>
  <si>
    <t>OnePlus 12 Pro</t>
  </si>
  <si>
    <t>1729d815-4872-4db8-8a06-527cab9b72db</t>
  </si>
  <si>
    <t>Kolkata</t>
  </si>
  <si>
    <t>b9c9fb79-ae15-4b97-a439-12327ad25869</t>
  </si>
  <si>
    <t>Ankara</t>
  </si>
  <si>
    <t>b41b7729-d5b4-447d-a723-5f1113e834f8</t>
  </si>
  <si>
    <t>iPhone 14 Pro</t>
  </si>
  <si>
    <t>Apple</t>
  </si>
  <si>
    <t>iOS</t>
  </si>
  <si>
    <t>75b69bdf-bcfa-45ec-bb34-0edfaa0f1b60</t>
  </si>
  <si>
    <t>37771a5c-d5e6-45a2-962a-1ffed462104b</t>
  </si>
  <si>
    <t>54397aec-2cd9-435d-b4a1-4d8bcdb84e63</t>
  </si>
  <si>
    <t>5e89e980-d3c1-47ef-9fd4-c2117f5d3baa</t>
  </si>
  <si>
    <t>a5efebcf-37a6-4ffc-81bc-46cf09be659c</t>
  </si>
  <si>
    <t>5de8606b-2499-44f9-b3fa-eaf96fcf7a92</t>
  </si>
  <si>
    <t>Khulna</t>
  </si>
  <si>
    <t>5715966f-620a-44f4-b08d-9c444264c4c1</t>
  </si>
  <si>
    <t>c07fff34-92b2-42e0-982b-6dd160b071e1</t>
  </si>
  <si>
    <t>e79fd7c4-7c9f-4995-9c91-5c2e8b75a1f9</t>
  </si>
  <si>
    <t>ed375851-0745-4782-b208-7e4a575211a2</t>
  </si>
  <si>
    <t>Galaxy S25 Ultra</t>
  </si>
  <si>
    <t>86b4c985-83c7-4c66-80d6-1922b43ba99a</t>
  </si>
  <si>
    <t>Sylhet</t>
  </si>
  <si>
    <t>bcbeb5c0-da1b-4aa1-9178-695252ff6b03</t>
  </si>
  <si>
    <t>Galaxy M15</t>
  </si>
  <si>
    <t>Bangalore</t>
  </si>
  <si>
    <t>b0bf3c70-7bb3-4514-92f7-e752db4def1b</t>
  </si>
  <si>
    <t>1b246f4b-b8b3-4cec-b801-bde2d1987509</t>
  </si>
  <si>
    <t>9f823c66-7d39-4597-a23c-89bf64dd48d8</t>
  </si>
  <si>
    <t>11e783a0-e4d8-4399-9ce6-0049fdab62c6</t>
  </si>
  <si>
    <t>iPhone 15</t>
  </si>
  <si>
    <t>Lucknow</t>
  </si>
  <si>
    <t>d830c382-2f68-4f61-aa3a-8e32120a4d2e</t>
  </si>
  <si>
    <t>iPhone 15 Pro</t>
  </si>
  <si>
    <t>5c5b6e7d-4a0c-42b5-b36c-eb914ae09e95</t>
  </si>
  <si>
    <t>iPhone 14</t>
  </si>
  <si>
    <t>Chennai</t>
  </si>
  <si>
    <t>15e2798f-e227-4f4e-b061-b147a35b3f94</t>
  </si>
  <si>
    <t>addad3bd-167b-419c-9cfe-9af6ca953e33</t>
  </si>
  <si>
    <t>be62bbce-ff3d-4faf-a943-1c5163ea0d7f</t>
  </si>
  <si>
    <t>054b42a7-02d8-42c5-bd34-8faaa0ab2b38</t>
  </si>
  <si>
    <t>45d2ad88-0e27-477f-9a74-3990ebd65838</t>
  </si>
  <si>
    <t>5e537142-c36f-4264-aa25-93c69f79c26d</t>
  </si>
  <si>
    <t>7b5b9b49-eb1e-4e24-b2d3-658e50001acb</t>
  </si>
  <si>
    <t>c8220362-d66a-4c81-b972-9619934627c3</t>
  </si>
  <si>
    <t>05dc416c-5c87-4726-88bb-c3f02350f9d4</t>
  </si>
  <si>
    <t>8a020b59-0bf5-4548-8b12-0380b5d1a25f</t>
  </si>
  <si>
    <t>a6189201-53f2-4ff9-840c-f8eaaa812c96</t>
  </si>
  <si>
    <t>1687bec4-ccc8-4abe-81d1-d3c34ceb1b5f</t>
  </si>
  <si>
    <t>2d8c5839-74ea-42ab-9ba7-3f96d96efd87</t>
  </si>
  <si>
    <t>Galaxy A55</t>
  </si>
  <si>
    <t>d40764e9-e423-40da-bee9-6d0f484d2575</t>
  </si>
  <si>
    <t>Rawalpindi</t>
  </si>
  <si>
    <t>7ebd3c9c-21a9-48d4-802b-50b2ae3d74e6</t>
  </si>
  <si>
    <t>b5769cb1-6eb2-4fd0-94ba-3b64b6991c7e</t>
  </si>
  <si>
    <t>4160d472-4d0f-4a59-86b8-86e297bc6dec</t>
  </si>
  <si>
    <t>78956e9d-222f-40a4-9ea2-499b738e6a00</t>
  </si>
  <si>
    <t>c390e049-3c4f-4b58-ad23-f52c64d7768f</t>
  </si>
  <si>
    <t>71e5519b-ebcd-4ae6-8c37-165aa0b2e39e</t>
  </si>
  <si>
    <t>ee1a4d2e-f425-4fae-8400-b4c76d7d0175</t>
  </si>
  <si>
    <t>5633dd9e-0ad3-455e-8b00-7236c2379e1b</t>
  </si>
  <si>
    <t>8201d6e3-4f18-4911-9b28-c50627fd1640</t>
  </si>
  <si>
    <t>a01cf58f-776a-44aa-9bf0-acb2e791bf54</t>
  </si>
  <si>
    <t>iPhone SE</t>
  </si>
  <si>
    <t>de89421a-9aaa-4405-ac88-1a9cf27e759e</t>
  </si>
  <si>
    <t>d09c0b41-1402-4356-9862-1037a36dff3c</t>
  </si>
  <si>
    <t>9c051b08-07fc-4255-9718-ccd7086ebcdf</t>
  </si>
  <si>
    <t>32632594-2755-431f-a699-fa2be10a3e10</t>
  </si>
  <si>
    <t>fa428d4b-c6e6-4892-a985-73db52035660</t>
  </si>
  <si>
    <t>ab65afba-2bee-46a3-8b23-fda5f5d18601</t>
  </si>
  <si>
    <t>01ba7cfd-dc66-4825-9d40-3575f752c1cc</t>
  </si>
  <si>
    <t>279ece16-2767-4f56-badd-d5a9b2b86bd6</t>
  </si>
  <si>
    <t>fb5ffb84-dd00-41a7-943d-a224c201e241</t>
  </si>
  <si>
    <t>f26a4e4f-7e9e-481e-a594-fede2d967ec5</t>
  </si>
  <si>
    <t>Ahmedabad</t>
  </si>
  <si>
    <t>0c84d254-8e66-4a1b-bf6f-7e069ebb719a</t>
  </si>
  <si>
    <t>87a77bc0-8fa3-4742-a85c-8d2a9cbf0c85</t>
  </si>
  <si>
    <t>975ab0fa-e6eb-4085-8619-fac496030deb</t>
  </si>
  <si>
    <t>39cd6582-9d4e-43be-b947-8799850d58f0</t>
  </si>
  <si>
    <t>256cf9e1-cd77-4145-951b-d92e44d00cf3</t>
  </si>
  <si>
    <t>531d046b-c78e-4775-92ef-f4f69901107b</t>
  </si>
  <si>
    <t>601240e1-e950-441e-96cf-bd7b737a679c</t>
  </si>
  <si>
    <t>f5598f5d-a410-4953-aa55-f02c4206c890</t>
  </si>
  <si>
    <t>7d4ca499-dae4-4596-840a-8febe483356a</t>
  </si>
  <si>
    <t>d7a13904-cd44-4c3f-ba09-3f9928ac3295</t>
  </si>
  <si>
    <t>07d2b6a9-3e14-400a-be8a-78a04561b012</t>
  </si>
  <si>
    <t>270eb8a0-d199-4342-9e33-5c456f79e2cc</t>
  </si>
  <si>
    <t>b0a25cb1-9098-4721-9c6d-f4da0b93d7d0</t>
  </si>
  <si>
    <t>dc467662-2188-455e-b885-a74bec8d04d0</t>
  </si>
  <si>
    <t>13814056-0d13-4b0d-9f3a-4fdbe56970e8</t>
  </si>
  <si>
    <t>6848fd52-ccbd-4bfb-8ddf-349698439e7b</t>
  </si>
  <si>
    <t>fe824ec3-d1da-41d6-b48c-f456b64553cd</t>
  </si>
  <si>
    <t>4a8d009b-8efd-43bd-b7e5-fcce1a070a22</t>
  </si>
  <si>
    <t>d3007fd2-b6fc-4d81-9b85-8b6d5acedf5f</t>
  </si>
  <si>
    <t>c28cafd9-08a6-4a72-8a89-b05d82993315</t>
  </si>
  <si>
    <t>58bebb33-c6cf-47e0-9ad7-156735a68caf</t>
  </si>
  <si>
    <t>474c5755-50a8-4bee-9af3-e8df247d3769</t>
  </si>
  <si>
    <t>784b0c63-1eb4-42bf-a8e1-de0d1f9bbbb2</t>
  </si>
  <si>
    <t>00c4011d-0798-4dcd-ba4f-5d7fbbcdc9e5</t>
  </si>
  <si>
    <t>Mumbai</t>
  </si>
  <si>
    <t>43f15613-86fd-4e47-b9eb-ab3624e4fe22</t>
  </si>
  <si>
    <t>7da7de95-f772-4cc2-bce0-b0873f98233e</t>
  </si>
  <si>
    <t>03b65910-37b4-402c-b17c-6fbe0ccd37dc</t>
  </si>
  <si>
    <t>eac79ee6-e787-48df-96a4-ea6b11fd5aa6</t>
  </si>
  <si>
    <t>f6911e69-8a1f-4cf0-ad51-e80918c55a81</t>
  </si>
  <si>
    <t>077487a5-61c4-4f29-bd88-49901d7b47e7</t>
  </si>
  <si>
    <t>Karachi</t>
  </si>
  <si>
    <t>835823d7-b24b-4420-848f-324c3de8e5c3</t>
  </si>
  <si>
    <t>592eb398-a865-4282-8a8c-ee125cae45aa</t>
  </si>
  <si>
    <t>ac8bf7a8-fb2b-41f7-a0fa-53272d7bf4b9</t>
  </si>
  <si>
    <t>5759b023-dd6f-4b24-8acf-e8859b3eaab3</t>
  </si>
  <si>
    <t>d3e82026-2084-40f2-8d5d-d2a94a198af9</t>
  </si>
  <si>
    <t>746e2d69-e2f6-4a37-8315-8f5443a85e7d</t>
  </si>
  <si>
    <t>bca07c20-5f33-4f80-9b7c-e5c8cfea85d4</t>
  </si>
  <si>
    <t>87ec627a-e951-47c9-b9bb-b50a1b83771b</t>
  </si>
  <si>
    <t>07fa81d5-6de5-480f-a74c-447d1dafd82b</t>
  </si>
  <si>
    <t>f434cbf9-a064-4fd2-a315-84ae804bb6e3</t>
  </si>
  <si>
    <t>fd677e01-2fe0-41dc-8125-28ac13e93ea1</t>
  </si>
  <si>
    <t>2e81bb66-267c-4e18-925d-082798a1180f</t>
  </si>
  <si>
    <t>c1dd718f-8c25-47a9-bc37-5dd6c767199e</t>
  </si>
  <si>
    <t>0371e9b9-a363-4279-a3c0-f94aaa231c35</t>
  </si>
  <si>
    <t>12f7ac32-9063-4ae5-a122-385b06ba77af</t>
  </si>
  <si>
    <t>06cbf9e5-391e-4727-a5b0-24c93b3f88df</t>
  </si>
  <si>
    <t>73a33eac-425b-4f9a-b864-0ace26cf641e</t>
  </si>
  <si>
    <t>db6a7b80-0a20-471d-a347-64148616a34c</t>
  </si>
  <si>
    <t>f697038c-e26d-43b8-beae-3824a4242583</t>
  </si>
  <si>
    <t>8084578e-c7f4-4a77-9177-22e62a1f2ebf</t>
  </si>
  <si>
    <t>fd6868d4-24fe-46d6-afba-bebbbf09061e</t>
  </si>
  <si>
    <t>cbba6938-6721-4ed9-b465-94612dbbc6ab</t>
  </si>
  <si>
    <t>b7181ee7-e3d8-4401-bf0e-c220833d444f</t>
  </si>
  <si>
    <t>9a9a2ad8-8243-41ac-93cc-c179ea2af34c</t>
  </si>
  <si>
    <t>e41b3943-d8e1-4208-9df5-af3f34b2c70e</t>
  </si>
  <si>
    <t>75d025b3-f4e0-4634-af53-2498cae1e486</t>
  </si>
  <si>
    <t>39b83ab9-ba07-4744-a3ec-180a86314e4a</t>
  </si>
  <si>
    <t>6f0c7e6b-bafc-4b7f-aec1-931619bd777c</t>
  </si>
  <si>
    <t>d1c3c93a-6137-468a-a281-369e38b80eb0</t>
  </si>
  <si>
    <t>bba8307d-a14f-4411-a2b1-7691e9102fa7</t>
  </si>
  <si>
    <t>421d315d-d454-485a-9881-e9801611071b</t>
  </si>
  <si>
    <t>5608d68a-f743-47df-8ab0-506222864044</t>
  </si>
  <si>
    <t>99f8064c-0a0f-49e3-96eb-1fd34c8b289c</t>
  </si>
  <si>
    <t>27d10756-0d57-4d2a-83bf-f150a150ae73</t>
  </si>
  <si>
    <t>e90823db-15d9-4085-a915-eb670a753520</t>
  </si>
  <si>
    <t>8d5dc29d-6bf1-4c18-9156-9f8cde7f4f39</t>
  </si>
  <si>
    <t>4e19f661-161a-43bd-97a7-d60cfb8192da</t>
  </si>
  <si>
    <t>dfb76477-24d9-48b0-9266-9500b73c0c40</t>
  </si>
  <si>
    <t>aeca97ff-06ee-46cd-8f8e-58aa97bd295d</t>
  </si>
  <si>
    <t>d88b82f3-1f09-48cd-a48b-ddf2484da53a</t>
  </si>
  <si>
    <t>b80fc87e-d487-45ae-b2db-c91eb2b155b2</t>
  </si>
  <si>
    <t>aa7aa247-efc9-4872-b482-66d779d66291</t>
  </si>
  <si>
    <t>918c1785-2c85-4757-a15e-cfddb38dd38e</t>
  </si>
  <si>
    <t>1e273c52-d2b0-45c7-b5e4-eb5fa7349f59</t>
  </si>
  <si>
    <t>4f87d114-f522-4ead-93e3-f336402df6aa</t>
  </si>
  <si>
    <t>027fc1ac-20db-4e5a-9d12-f258b96d1142</t>
  </si>
  <si>
    <t>c77bb8a7-d4dc-4e94-b544-ecd31ec0724a</t>
  </si>
  <si>
    <t>a84fac8a-948c-452a-819e-47d80945463d</t>
  </si>
  <si>
    <t>b34103e5-2b2b-412e-8312-2993ac4a6ce2</t>
  </si>
  <si>
    <t>30f86f86-11d6-495d-8d38-dfd5dcb03c3a</t>
  </si>
  <si>
    <t>6c536c36-1663-4c8e-9fd4-3d451ec66fdb</t>
  </si>
  <si>
    <t>9d647d9c-dc63-41a5-ae45-7296cbd8c3f7</t>
  </si>
  <si>
    <t>8e51238a-e2c4-4f2e-8896-3e6c0ad57be1</t>
  </si>
  <si>
    <t>6e17deff-b435-4fd1-afb9-27aff2155c4d</t>
  </si>
  <si>
    <t>ec3f2b24-b0b6-44fa-b4d9-8bfb7598ff4e</t>
  </si>
  <si>
    <t>da032253-d5ac-4572-8c81-a4d378b5ff39</t>
  </si>
  <si>
    <t>9398a206-71cd-46ff-acd1-d99ebb1ed058</t>
  </si>
  <si>
    <t>8cec7f87-2347-4bb4-8cdc-9c2a85b94f07</t>
  </si>
  <si>
    <t>7e2ce318-5380-452d-81ec-254a41d9ce67</t>
  </si>
  <si>
    <t>a9cd54db-2023-4060-ae7b-f14621fb7c15</t>
  </si>
  <si>
    <t>98844777-0706-4954-967c-eba273be9786</t>
  </si>
  <si>
    <t>97eeef8c-56dd-47b9-b9d9-b26ad38c0cc6</t>
  </si>
  <si>
    <t>baf11b3f-a0f6-4c34-9304-798185427b4b</t>
  </si>
  <si>
    <t>Islamabad</t>
  </si>
  <si>
    <t>f1501b05-2741-47b9-8fef-3bb5fd227f3c</t>
  </si>
  <si>
    <t>73f4ae54-30b9-4336-9a6a-82d52f683932</t>
  </si>
  <si>
    <t>a9973ffe-e4ec-40ba-912d-f3275a8cd0bf</t>
  </si>
  <si>
    <t>69dcedc9-84c1-4736-9a47-cdcc1adfde86</t>
  </si>
  <si>
    <t>3ac3e788-e9f8-4c0e-856a-178386e77dc5</t>
  </si>
  <si>
    <t>b39ecb5c-062b-4c87-ae77-e75b20957ba5</t>
  </si>
  <si>
    <t>631a8080-bfa4-4324-a1a1-708590b58946</t>
  </si>
  <si>
    <t>4bf65265-8b98-440f-a66e-efef35df43f9</t>
  </si>
  <si>
    <t>381d1e2b-f1be-4163-bbe1-97b02725d239</t>
  </si>
  <si>
    <t>dfa4beca-1ebe-46c1-90aa-6e28c8e044f7</t>
  </si>
  <si>
    <t>dced92e7-8ee8-4eab-837e-c2b2ca0510a2</t>
  </si>
  <si>
    <t>0b2038fe-3514-4341-984e-c9fafd24a1a5</t>
  </si>
  <si>
    <t>cf0ec4eb-6751-4904-9980-9cbacd679c14</t>
  </si>
  <si>
    <t>3b76ccfb-7609-4032-b895-932df8d3e143</t>
  </si>
  <si>
    <t>233dfd88-f3be-42be-b464-0ed920bc2194</t>
  </si>
  <si>
    <t>7278319c-f4ff-4957-8747-de5d8c4fb0b2</t>
  </si>
  <si>
    <t>492e27be-a5dd-4bdd-a3ca-64a0a880494e</t>
  </si>
  <si>
    <t>5459cd0f-80b8-45bb-8122-82f6a3b60075</t>
  </si>
  <si>
    <t>13ebb7aa-97d8-473f-8cb1-ed72c9a517c2</t>
  </si>
  <si>
    <t>ce868ecb-e271-4b6d-ab3a-ce32f22cc95c</t>
  </si>
  <si>
    <t>9bb46792-867e-42a4-8fa8-e5a9fcd85d68</t>
  </si>
  <si>
    <t>81b50cb3-6f6e-47eb-84fb-08ecd54c20f4</t>
  </si>
  <si>
    <t>57a14899-fdc3-4bc4-82fb-dee041cc5085</t>
  </si>
  <si>
    <t>80fecc89-f65c-4c3c-ac77-4ae004ffaa25</t>
  </si>
  <si>
    <t>223adf80-0b39-4da3-b7b1-a9f42064fc5b</t>
  </si>
  <si>
    <t>83825219-5c2e-49f1-99ca-7ccd1edebb71</t>
  </si>
  <si>
    <t>c6c2bdcc-6479-444e-8ea7-98fdd924178c</t>
  </si>
  <si>
    <t>5bc75cac-25a8-4cff-af9c-953f17ae6624</t>
  </si>
  <si>
    <t>4df64a47-3dd2-49f1-bca8-6650b0021bca</t>
  </si>
  <si>
    <t>391959dc-a30c-4625-83fe-c56bc5a23c7b</t>
  </si>
  <si>
    <t>a8636322-29d8-4152-b812-15b95f4b4444</t>
  </si>
  <si>
    <t>1f93f947-f3ce-4bc7-8a74-a2f7b369a3dd</t>
  </si>
  <si>
    <t>0a2ea933-d97c-47c9-8967-ee955688d891</t>
  </si>
  <si>
    <t>bdcfcebc-1663-4012-9c26-f8e08371ef8c</t>
  </si>
  <si>
    <t>97aef928-83ce-474f-b069-20f61eeb351a</t>
  </si>
  <si>
    <t>c05f4a0d-cdff-413b-82c6-a5522ce92982</t>
  </si>
  <si>
    <t>eb770352-6be0-4e43-a586-c70ae6cb0625</t>
  </si>
  <si>
    <t>b4de2bb0-6426-4ae0-bc2d-1d6bc309fb38</t>
  </si>
  <si>
    <t>c17792ae-d323-4d3a-a640-749d7fe6e5de</t>
  </si>
  <si>
    <t>ccebab09-9abd-4642-ae8e-aad2f31519c3</t>
  </si>
  <si>
    <t>76027fce-477f-4b8c-ac42-f92f46120e88</t>
  </si>
  <si>
    <t>6cdafe35-9217-4584-9278-91cac7d6c8e5</t>
  </si>
  <si>
    <t>e2b513d1-e3c2-4592-b59e-735b9c1fc2c1</t>
  </si>
  <si>
    <t>57f49450-3afd-414c-88da-12ce37fdce1b</t>
  </si>
  <si>
    <t>975126b2-9aa0-471d-98e6-96da12bec7c3</t>
  </si>
  <si>
    <t>b5cbe4ea-8f98-4227-b05b-ff80d82757a2</t>
  </si>
  <si>
    <t>f12aa1b8-63e7-4bbb-b320-1a22ce062d1d</t>
  </si>
  <si>
    <t>e5032217-c447-4d62-9536-64448dd8fd17</t>
  </si>
  <si>
    <t>8d757a3c-6ffc-4b44-97aa-de01f6bc3b56</t>
  </si>
  <si>
    <t>8fdb323b-83af-4344-8d72-b57ec9589874</t>
  </si>
  <si>
    <t>b285b45a-4d7f-4177-ae0f-6765d4a98db9</t>
  </si>
  <si>
    <t>1593f027-9cc6-442a-86e5-573651d5baf3</t>
  </si>
  <si>
    <t>673ba242-77f0-4978-8a16-d8f590cf8be3</t>
  </si>
  <si>
    <t>8ddf0eb5-4903-40ab-9d0c-df96394dc01c</t>
  </si>
  <si>
    <t>fa2fe475-58ab-45e0-8665-423ac1d99875</t>
  </si>
  <si>
    <t>00a9cf7e-f55f-43c2-80e2-32c3091fb23f</t>
  </si>
  <si>
    <t>41c0dca7-45ea-4a15-a721-a0817bf9e9bd</t>
  </si>
  <si>
    <t>5815ba82-f44e-4610-83d7-28b12cf22bae</t>
  </si>
  <si>
    <t>0835e90c-955f-47dc-87df-98c314e501a7</t>
  </si>
  <si>
    <t>ae88502d-6495-4cbb-adaa-c12247525627</t>
  </si>
  <si>
    <t>2854bddf-ed59-41f1-8479-21469066db0a</t>
  </si>
  <si>
    <t>173d6e2c-d2d4-4a78-9b56-8ff05194c0be</t>
  </si>
  <si>
    <t>c86ae247-2192-41cc-807f-a310c91877e4</t>
  </si>
  <si>
    <t>af44b142-5392-4d93-9060-ad7d5c8022f3</t>
  </si>
  <si>
    <t>26f1b986-7049-473e-988d-e72bab62a70b</t>
  </si>
  <si>
    <t>7df13af7-873c-4afb-b644-9f9ecf79410d</t>
  </si>
  <si>
    <t>9eae19c3-5353-4d1a-b557-73080cfa4100</t>
  </si>
  <si>
    <t>ad2b4bff-dce0-4620-bc82-f904e60c49cb</t>
  </si>
  <si>
    <t>da53593b-9281-4a8c-91c7-273d25c02541</t>
  </si>
  <si>
    <t>7d2d67fc-835c-48f1-9edd-8537d9fefc7e</t>
  </si>
  <si>
    <t>18eb14f3-3767-47a1-89c3-321be94156e3</t>
  </si>
  <si>
    <t>41d46fa9-746c-4c6c-8da6-93a6417f2355</t>
  </si>
  <si>
    <t>93995cc4-4535-40b3-9ba0-f1a2b5f89f0f</t>
  </si>
  <si>
    <t>d73e4e8b-1032-4086-aa77-8cf8fea98d25</t>
  </si>
  <si>
    <t>baefeff0-2f10-4ab3-81fe-50e61276494f</t>
  </si>
  <si>
    <t>a9d4ebfb-3a5b-4d27-a847-0a606c6eaf6f</t>
  </si>
  <si>
    <t>bc12e24b-f585-4548-9fc4-26c8ad86e7f8</t>
  </si>
  <si>
    <t>e50290db-1725-4255-9fb6-a5e7a4d02d74</t>
  </si>
  <si>
    <t>5b88ab1e-fb86-4e1f-8cb2-0a2b2b5175c1</t>
  </si>
  <si>
    <t>b1a479c9-4caa-4cc6-b5aa-557b0b1bb69c</t>
  </si>
  <si>
    <t>65cc396b-4349-4ee3-83b6-b73333f93133</t>
  </si>
  <si>
    <t>caab0fa6-37de-4faf-832b-531517c80874</t>
  </si>
  <si>
    <t>462cf16a-9332-454f-8059-676e62156f3b</t>
  </si>
  <si>
    <t>b4df370f-821b-43aa-a876-841b99222c0b</t>
  </si>
  <si>
    <t>be14475a-5ac8-4fdb-afdd-2e05fc45947a</t>
  </si>
  <si>
    <t>44f2a19f-ad29-478b-afc1-a94f43cf4b01</t>
  </si>
  <si>
    <t>bc96e2cb-0ca7-4eb6-a698-acb8e6f1577c</t>
  </si>
  <si>
    <t>ee4e3ab6-7c6f-4119-819d-6ba71e0da773</t>
  </si>
  <si>
    <t>bbf10f68-d604-45be-aabe-e39d85e0ff20</t>
  </si>
  <si>
    <t>2495de7b-419a-4883-8075-d5959162492d</t>
  </si>
  <si>
    <t>99ea4ef2-dca1-42ce-9d65-99314b4bc2a2</t>
  </si>
  <si>
    <t>7b0cb646-6dc6-4c1d-85d6-75e2701cb1c9</t>
  </si>
  <si>
    <t>16960cd1-2989-4ae0-97e1-47db52d5e944</t>
  </si>
  <si>
    <t>9d1f033a-a271-475b-97ff-c85f667a334e</t>
  </si>
  <si>
    <t>f29a147f-2183-4e3e-8851-b7bbc41df8c8</t>
  </si>
  <si>
    <t>69fad209-6c1e-4ea7-9da6-46053b761f3a</t>
  </si>
  <si>
    <t>fbb8c484-f4e5-408b-8d25-6ad2e160452b</t>
  </si>
  <si>
    <t>453150f7-9f21-41e8-8b98-34b3ed38094c</t>
  </si>
  <si>
    <t>b0ba4ceb-ca74-4200-9e93-c0b698af493e</t>
  </si>
  <si>
    <t>96d4f89c-5b22-4bc3-a153-b82ab110f4b4</t>
  </si>
  <si>
    <t>6eb173bb-59a5-4e8b-a2bd-c974ef076134</t>
  </si>
  <si>
    <t>505be308-fbe6-4917-9659-87ab82ab776d</t>
  </si>
  <si>
    <t>37f52a09-fa59-4c84-b888-ebea2fa9c02a</t>
  </si>
  <si>
    <t>8373a7ce-dae1-4293-afff-ed796eb226e4</t>
  </si>
  <si>
    <t>3fd4db14-58ca-44c7-88d3-b720c4e38ba5</t>
  </si>
  <si>
    <t>5b971458-ca8d-4320-b8dd-fa1cd0d3f733</t>
  </si>
  <si>
    <t>5bad4d24-060c-4374-9855-fc134cbb0bef</t>
  </si>
  <si>
    <t>81201758-d358-4752-ae12-239b8faebae6</t>
  </si>
  <si>
    <t>53745a72-1cf1-45ad-a544-8ac93d79a45d</t>
  </si>
  <si>
    <t>567c276b-fec4-47e4-b5be-71f2b79bd745</t>
  </si>
  <si>
    <t>b44062f4-e16b-4596-bba1-9dd612a69615</t>
  </si>
  <si>
    <t>41eea37c-f1ca-4d75-95d2-c42339fe8115</t>
  </si>
  <si>
    <t>316ae676-2311-46eb-84b1-088dfeeb19dd</t>
  </si>
  <si>
    <t>41e73345-7161-4b86-9922-848a9ca80bf9</t>
  </si>
  <si>
    <t>32efcd0a-9382-4773-997d-d5f484be58a5</t>
  </si>
  <si>
    <t>0c877dea-f64a-4f75-8ccf-4dc7b70ba576</t>
  </si>
  <si>
    <t>271ea241-ee6b-425a-b5d6-5b9fcf2830cb</t>
  </si>
  <si>
    <t>f96ad151-8b3e-4126-99a5-97a4a176915a</t>
  </si>
  <si>
    <t>8387a168-4638-412f-8721-9ceebeba72fe</t>
  </si>
  <si>
    <t>6e9b3fb9-acd2-458a-8d6f-cc76b8f3c204</t>
  </si>
  <si>
    <t>19f710fc-8045-441d-b796-c40779f245a7</t>
  </si>
  <si>
    <t>cb4d7c5f-824b-4bae-8061-1ee9343d7327</t>
  </si>
  <si>
    <t>d857b3cb-d28c-451e-9ad1-0aed07d6b5ad</t>
  </si>
  <si>
    <t>797876a4-bc06-44d0-8bac-d5123fb72501</t>
  </si>
  <si>
    <t>07097620-54aa-4e73-9024-c51380f3deca</t>
  </si>
  <si>
    <t>60cf0698-9cbf-4d7e-b7c5-0edb4fa6cf42</t>
  </si>
  <si>
    <t>3f591e8b-fd26-4d8e-9556-2ce32355437e</t>
  </si>
  <si>
    <t>a1dae876-8ee4-4d2e-ac91-35d2536426cf</t>
  </si>
  <si>
    <t>8eb5f50a-b99c-41d8-85b0-cbe79295764c</t>
  </si>
  <si>
    <t>70e0ce1a-e29b-4077-b397-a30a04d23eb9</t>
  </si>
  <si>
    <t>0573f325-9457-4657-a7c4-447a19d93f99</t>
  </si>
  <si>
    <t>999884f1-17c1-4366-a5e3-8c63f28673dc</t>
  </si>
  <si>
    <t>34a118c4-60d2-4450-8bc1-0c8435adabeb</t>
  </si>
  <si>
    <t>aa4eddb8-b9a3-4f56-89f3-964b0d417867</t>
  </si>
  <si>
    <t>857e8ec4-6502-4ef5-b95c-c4f249ed055a</t>
  </si>
  <si>
    <t>Row Labels</t>
  </si>
  <si>
    <t>Grand Total</t>
  </si>
  <si>
    <t>Month Name</t>
  </si>
  <si>
    <t>Day Name</t>
  </si>
  <si>
    <t>January</t>
  </si>
  <si>
    <t>Monday</t>
  </si>
  <si>
    <t>Tuesday</t>
  </si>
  <si>
    <t>Wednesday</t>
  </si>
  <si>
    <t>Thursday</t>
  </si>
  <si>
    <t>Friday</t>
  </si>
  <si>
    <t>Saturday</t>
  </si>
  <si>
    <t>Sunday</t>
  </si>
  <si>
    <t>February</t>
  </si>
  <si>
    <t>March</t>
  </si>
  <si>
    <t>April</t>
  </si>
  <si>
    <t>May</t>
  </si>
  <si>
    <t>June</t>
  </si>
  <si>
    <t>July</t>
  </si>
  <si>
    <t>August</t>
  </si>
  <si>
    <t>September</t>
  </si>
  <si>
    <t>October</t>
  </si>
  <si>
    <t>November</t>
  </si>
  <si>
    <t>December</t>
  </si>
  <si>
    <t>Customers</t>
  </si>
  <si>
    <t>Average Revenue</t>
  </si>
  <si>
    <t xml:space="preserve"> Average Revenue</t>
  </si>
  <si>
    <t>Total Brands</t>
  </si>
  <si>
    <t xml:space="preserve"> Units Sold</t>
  </si>
  <si>
    <t>Total Revenue</t>
  </si>
  <si>
    <t>Total Revenue by Brand</t>
  </si>
  <si>
    <t xml:space="preserve"> Units Sold by Brand</t>
  </si>
  <si>
    <t xml:space="preserve"> Total_Revenue by Model</t>
  </si>
  <si>
    <t>Units Sold by Sales Channel</t>
  </si>
  <si>
    <t>Total Revenue by Sales Channel</t>
  </si>
  <si>
    <t xml:space="preserve"> Units Sold by Model</t>
  </si>
  <si>
    <t xml:space="preserve"> Total Revenue by Gender</t>
  </si>
  <si>
    <t xml:space="preserve"> Average Revenue by Operating System</t>
  </si>
  <si>
    <t>Daily Revenue Trend</t>
  </si>
  <si>
    <t>Monthly Revenue Trend</t>
  </si>
  <si>
    <t>Revenue by country</t>
  </si>
  <si>
    <t xml:space="preserve"> Average Revenue by Payment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</si>
</sst>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2" x14ac:knownFonts="1">
    <font>
      <sz val="14"/>
      <color theme="1"/>
      <name val="Arial"/>
      <family val="2"/>
    </font>
    <font>
      <sz val="14"/>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4"/>
      <color rgb="FF006100"/>
      <name val="Arial"/>
      <family val="2"/>
    </font>
    <font>
      <sz val="14"/>
      <color rgb="FF9C0006"/>
      <name val="Arial"/>
      <family val="2"/>
    </font>
    <font>
      <sz val="14"/>
      <color rgb="FF9C5700"/>
      <name val="Arial"/>
      <family val="2"/>
    </font>
    <font>
      <sz val="14"/>
      <color rgb="FF3F3F76"/>
      <name val="Arial"/>
      <family val="2"/>
    </font>
    <font>
      <b/>
      <sz val="14"/>
      <color rgb="FF3F3F3F"/>
      <name val="Arial"/>
      <family val="2"/>
    </font>
    <font>
      <b/>
      <sz val="14"/>
      <color rgb="FFFA7D00"/>
      <name val="Arial"/>
      <family val="2"/>
    </font>
    <font>
      <sz val="14"/>
      <color rgb="FFFA7D00"/>
      <name val="Arial"/>
      <family val="2"/>
    </font>
    <font>
      <b/>
      <sz val="14"/>
      <color theme="0"/>
      <name val="Arial"/>
      <family val="2"/>
    </font>
    <font>
      <sz val="14"/>
      <color rgb="FFFF0000"/>
      <name val="Arial"/>
      <family val="2"/>
    </font>
    <font>
      <i/>
      <sz val="14"/>
      <color rgb="FF7F7F7F"/>
      <name val="Arial"/>
      <family val="2"/>
    </font>
    <font>
      <b/>
      <sz val="14"/>
      <color theme="1"/>
      <name val="Arial"/>
      <family val="2"/>
    </font>
    <font>
      <sz val="14"/>
      <color theme="0"/>
      <name val="Arial"/>
      <family val="2"/>
    </font>
    <font>
      <sz val="12"/>
      <color theme="1"/>
      <name val="Georgia"/>
      <family val="1"/>
    </font>
    <font>
      <sz val="14"/>
      <color theme="1"/>
      <name val="Georgia"/>
      <family val="1"/>
    </font>
    <font>
      <sz val="12"/>
      <color theme="1"/>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1" fontId="0" fillId="0" borderId="0" xfId="0" applyNumberFormat="1"/>
    <xf numFmtId="164" fontId="0" fillId="0" borderId="0" xfId="0" applyNumberFormat="1"/>
    <xf numFmtId="49" fontId="0" fillId="0" borderId="0" xfId="0" applyNumberFormat="1"/>
    <xf numFmtId="1" fontId="0" fillId="0" borderId="0" xfId="0" applyNumberFormat="1"/>
    <xf numFmtId="0" fontId="18" fillId="0" borderId="0" xfId="0" applyFont="1"/>
    <xf numFmtId="0" fontId="19" fillId="0" borderId="0" xfId="0" applyFont="1"/>
    <xf numFmtId="0" fontId="18" fillId="0" borderId="0" xfId="0" pivotButton="1" applyFont="1"/>
    <xf numFmtId="164" fontId="20" fillId="0" borderId="0" xfId="0" applyNumberFormat="1" applyFont="1"/>
    <xf numFmtId="0" fontId="20" fillId="0" borderId="0" xfId="0" applyFont="1"/>
    <xf numFmtId="3" fontId="20" fillId="0" borderId="0" xfId="0" applyNumberFormat="1" applyFont="1"/>
    <xf numFmtId="1" fontId="20" fillId="0" borderId="0" xfId="0" applyNumberFormat="1" applyFont="1"/>
    <xf numFmtId="0" fontId="20" fillId="0" borderId="0" xfId="0" applyFont="1" applyAlignment="1">
      <alignment horizontal="left"/>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3">
    <dxf>
      <numFmt numFmtId="30" formatCode="@"/>
    </dxf>
    <dxf>
      <numFmt numFmtId="30" formatCode="@"/>
    </dxf>
    <dxf>
      <numFmt numFmtId="30" formatCode="@"/>
    </dxf>
    <dxf>
      <numFmt numFmtId="30" formatCode="@"/>
    </dxf>
    <dxf>
      <numFmt numFmtId="1" formatCode="0"/>
    </dxf>
    <dxf>
      <numFmt numFmtId="30" formatCode="@"/>
    </dxf>
    <dxf>
      <numFmt numFmtId="30" formatCode="@"/>
    </dxf>
    <dxf>
      <numFmt numFmtId="164" formatCode="&quot;$&quot;#,##0"/>
    </dxf>
    <dxf>
      <numFmt numFmtId="164" formatCode="&quot;$&quot;#,##0"/>
    </dxf>
    <dxf>
      <numFmt numFmtId="1" formatCode="0"/>
    </dxf>
    <dxf>
      <numFmt numFmtId="164" formatCode="&quot;$&quot;#,##0"/>
    </dxf>
    <dxf>
      <numFmt numFmtId="30" formatCode="@"/>
    </dxf>
    <dxf>
      <numFmt numFmtId="30" formatCode="@"/>
    </dxf>
    <dxf>
      <numFmt numFmtId="30" formatCode="@"/>
    </dxf>
    <dxf>
      <numFmt numFmtId="30" formatCode="@"/>
    </dxf>
    <dxf>
      <numFmt numFmtId="30" formatCode="@"/>
    </dxf>
    <dxf>
      <numFmt numFmtId="19" formatCode="m/d/yyyy"/>
    </dxf>
    <dxf>
      <numFmt numFmtId="30" formatCode="@"/>
    </dxf>
    <dxf>
      <numFmt numFmtId="30" formatCode="@"/>
    </dxf>
    <dxf>
      <numFmt numFmtId="19" formatCode="m/d/yyyy"/>
    </dxf>
    <dxf>
      <numFmt numFmtId="30" formatCode="@"/>
    </dxf>
    <dxf>
      <font>
        <name val="Georgia"/>
        <family val="1"/>
      </font>
    </dxf>
    <dxf>
      <font>
        <name val="Georgia"/>
        <family val="1"/>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3" formatCode="#,##0"/>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 formatCode="0"/>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64" formatCode="&quot;$&quot;#,##0"/>
    </dxf>
    <dxf>
      <font>
        <name val="Georgia"/>
        <family val="1"/>
      </font>
    </dxf>
    <dxf>
      <font>
        <name val="Georgia"/>
        <family val="1"/>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3" formatCode="#,##0"/>
    </dxf>
    <dxf>
      <numFmt numFmtId="164" formatCode="&quot;$&quot;#,##0"/>
    </dxf>
    <dxf>
      <font>
        <name val="Georgia"/>
      </font>
    </dxf>
    <dxf>
      <font>
        <name val="Georgia"/>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Georgia"/>
        <family val="1"/>
      </font>
    </dxf>
    <dxf>
      <font>
        <name val="Georgia"/>
        <family val="1"/>
      </font>
    </dxf>
    <dxf>
      <font>
        <name val="Georgia"/>
        <family val="1"/>
      </font>
    </dxf>
    <dxf>
      <numFmt numFmtId="164" formatCode="&quot;$&quot;#,##0"/>
    </dxf>
    <dxf>
      <font>
        <name val="Georgia"/>
      </font>
    </dxf>
    <dxf>
      <font>
        <name val="Georgia"/>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 formatCode="0"/>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Times New Roman"/>
      </font>
    </dxf>
    <dxf>
      <font>
        <sz val="11"/>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numFmt numFmtId="164" formatCode="&quot;$&quot;#,##0"/>
    </dxf>
    <dxf>
      <font>
        <name val="Georgia"/>
      </font>
    </dxf>
    <dxf>
      <font>
        <name val="Georgia"/>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Georgia"/>
        <family val="1"/>
      </font>
    </dxf>
    <dxf>
      <font>
        <name val="Georgia"/>
        <family val="1"/>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Georgia"/>
      </font>
    </dxf>
    <dxf>
      <font>
        <name val="Georgia"/>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3" formatCode="#,##0"/>
    </dxf>
    <dxf>
      <numFmt numFmtId="164" formatCode="&quot;$&quot;#,##0"/>
    </dxf>
    <dxf>
      <font>
        <b val="0"/>
        <i val="0"/>
        <sz val="12"/>
        <color theme="1"/>
        <name val="Georgia"/>
        <family val="1"/>
        <scheme val="none"/>
      </font>
    </dxf>
    <dxf>
      <font>
        <b val="0"/>
        <i val="0"/>
        <sz val="12"/>
        <color rgb="FF78DA88"/>
        <name val="Georgia"/>
        <family val="1"/>
        <scheme val="none"/>
      </font>
    </dxf>
    <dxf>
      <font>
        <b/>
        <i val="0"/>
        <sz val="12"/>
        <color theme="1"/>
        <name val="Georgia"/>
        <family val="1"/>
        <scheme val="none"/>
      </font>
    </dxf>
    <dxf>
      <font>
        <b val="0"/>
        <i val="0"/>
        <sz val="12"/>
        <name val="Georgia"/>
        <family val="1"/>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Date" pivot="0" table="0" count="8" xr9:uid="{558B1ADE-3656-4B7F-9C36-7D9700239392}">
      <tableStyleElement type="wholeTable" dxfId="222"/>
      <tableStyleElement type="headerRow" dxfId="221"/>
    </tableStyle>
    <tableStyle name="Operating System" pivot="0" table="0" count="6" xr9:uid="{84CD79C8-0CED-40B5-AF58-09F203E4590E}">
      <tableStyleElement type="wholeTable" dxfId="220"/>
      <tableStyleElement type="headerRow" dxfId="219"/>
    </tableStyle>
  </tableStyles>
  <colors>
    <mruColors>
      <color rgb="FFFFCCCC"/>
      <color rgb="FF6CD2EA"/>
      <color rgb="FF36C1E2"/>
      <color rgb="FF11FF7D"/>
      <color rgb="FF86E68B"/>
      <color rgb="FF42E690"/>
      <color rgb="FFFF9999"/>
      <color rgb="FF62CEE8"/>
      <color rgb="FF00E266"/>
      <color rgb="FF83CF8C"/>
    </mruColors>
  </colors>
  <extLst>
    <ext xmlns:x14="http://schemas.microsoft.com/office/spreadsheetml/2009/9/main" uri="{46F421CA-312F-682f-3DD2-61675219B42D}">
      <x14:dxfs count="4">
        <dxf>
          <font>
            <color theme="1"/>
          </font>
          <fill>
            <patternFill>
              <bgColor rgb="FF7FC391"/>
            </patternFill>
          </fill>
        </dxf>
        <dxf>
          <font>
            <b val="0"/>
            <i val="0"/>
            <sz val="12"/>
            <color theme="1"/>
            <name val="Georgia"/>
            <family val="1"/>
            <scheme val="none"/>
          </font>
          <fill>
            <patternFill>
              <bgColor theme="7"/>
            </patternFill>
          </fill>
        </dxf>
        <dxf>
          <font>
            <b val="0"/>
            <i val="0"/>
            <sz val="12"/>
            <color theme="1"/>
            <name val="Georgia"/>
            <family val="1"/>
            <scheme val="none"/>
          </font>
          <fill>
            <patternFill>
              <bgColor rgb="FF83CF8C"/>
            </patternFill>
          </fill>
        </dxf>
        <dxf>
          <font>
            <b val="0"/>
            <i val="0"/>
            <sz val="12"/>
            <color theme="1"/>
            <name val="Georgia"/>
            <family val="1"/>
            <scheme val="none"/>
          </font>
          <fill>
            <patternFill>
              <bgColor rgb="FFFFC000"/>
            </patternFill>
          </fill>
        </dxf>
      </x14:dxfs>
    </ext>
    <ext xmlns:x14="http://schemas.microsoft.com/office/spreadsheetml/2009/9/main" uri="{EB79DEF2-80B8-43e5-95BD-54CBDDF9020C}">
      <x14:slicerStyles defaultSlicerStyle="SlicerStyleLight1">
        <x14:slicerStyle name="Operating System">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42E690"/>
            </patternFill>
          </fill>
        </dxf>
        <dxf>
          <font>
            <sz val="9"/>
            <color theme="1" tint="0.499984740745262"/>
          </font>
        </dxf>
        <dxf>
          <font>
            <sz val="9"/>
            <color theme="1" tint="0.499984740745262"/>
          </font>
        </dxf>
        <dxf>
          <font>
            <sz val="9"/>
            <color theme="1" tint="0.499984740745262"/>
          </font>
        </dxf>
        <dxf>
          <font>
            <b/>
            <i val="0"/>
            <sz val="11"/>
            <color theme="1"/>
            <name val="Georgia"/>
            <family val="1"/>
            <scheme val="none"/>
          </font>
        </dxf>
      </x15:dxfs>
    </ext>
    <ext xmlns:x15="http://schemas.microsoft.com/office/spreadsheetml/2010/11/main" uri="{9260A510-F301-46a8-8635-F512D64BE5F5}">
      <x15:timelineStyles defaultTimelineStyle="TimeSlicerStyleLight1">
        <x15:timelineStyle name="Dat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19.xml"/><Relationship Id="rId36"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Table!Total Revenue by Brand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rgbClr val="78DA88"/>
            </a:solidFill>
            <a:ln>
              <a:noFill/>
            </a:ln>
            <a:effectLst/>
          </c:spPr>
          <c:invertIfNegative val="0"/>
          <c:dLbls>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Apple</c:v>
                </c:pt>
                <c:pt idx="1">
                  <c:v>Google</c:v>
                </c:pt>
                <c:pt idx="2">
                  <c:v>OnePlus</c:v>
                </c:pt>
                <c:pt idx="3">
                  <c:v>Samsung</c:v>
                </c:pt>
                <c:pt idx="4">
                  <c:v>Xiaomi</c:v>
                </c:pt>
              </c:strCache>
            </c:strRef>
          </c:cat>
          <c:val>
            <c:numRef>
              <c:f>'Pivot Table'!$B$8:$B$13</c:f>
              <c:numCache>
                <c:formatCode>"$"#,##0</c:formatCode>
                <c:ptCount val="5"/>
                <c:pt idx="0">
                  <c:v>2935124</c:v>
                </c:pt>
                <c:pt idx="1">
                  <c:v>2131423</c:v>
                </c:pt>
                <c:pt idx="2">
                  <c:v>2444033</c:v>
                </c:pt>
                <c:pt idx="3">
                  <c:v>3147138</c:v>
                </c:pt>
                <c:pt idx="4">
                  <c:v>1502375</c:v>
                </c:pt>
              </c:numCache>
            </c:numRef>
          </c:val>
          <c:extLst>
            <c:ext xmlns:c16="http://schemas.microsoft.com/office/drawing/2014/chart" uri="{C3380CC4-5D6E-409C-BE32-E72D297353CC}">
              <c16:uniqueId val="{00000000-B45A-478F-AEEF-1EC4C60B3A7D}"/>
            </c:ext>
          </c:extLst>
        </c:ser>
        <c:dLbls>
          <c:showLegendKey val="0"/>
          <c:showVal val="0"/>
          <c:showCatName val="0"/>
          <c:showSerName val="0"/>
          <c:showPercent val="0"/>
          <c:showBubbleSize val="0"/>
        </c:dLbls>
        <c:gapWidth val="101"/>
        <c:overlap val="-43"/>
        <c:axId val="1705668064"/>
        <c:axId val="1705672640"/>
      </c:barChart>
      <c:catAx>
        <c:axId val="17056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eorgia" panose="02040502050405020303" pitchFamily="18" charset="0"/>
                <a:ea typeface="+mn-ea"/>
                <a:cs typeface="+mn-cs"/>
              </a:defRPr>
            </a:pPr>
            <a:endParaRPr lang="en-US"/>
          </a:p>
        </c:txPr>
        <c:crossAx val="1705672640"/>
        <c:crosses val="autoZero"/>
        <c:auto val="1"/>
        <c:lblAlgn val="ctr"/>
        <c:lblOffset val="100"/>
        <c:noMultiLvlLbl val="0"/>
      </c:catAx>
      <c:valAx>
        <c:axId val="170567264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6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Table!Monthly Revenue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rgbClr val="FFC000"/>
            </a:solidFill>
            <a:miter lim="800000"/>
            <a:headEnd type="triangle" w="sm" len="med"/>
            <a:tailEnd type="triangle"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Table'!$E$7</c:f>
              <c:strCache>
                <c:ptCount val="1"/>
                <c:pt idx="0">
                  <c:v>Total</c:v>
                </c:pt>
              </c:strCache>
            </c:strRef>
          </c:tx>
          <c:spPr>
            <a:ln w="25400" cap="sq">
              <a:solidFill>
                <a:srgbClr val="FFC000"/>
              </a:solidFill>
              <a:miter lim="800000"/>
              <a:headEnd type="triangle" w="sm" len="med"/>
              <a:tailEnd type="triangle" w="sm" len="med"/>
            </a:ln>
            <a:effectLst/>
          </c:spPr>
          <c:marker>
            <c:symbol val="none"/>
          </c:marker>
          <c:cat>
            <c:strRef>
              <c:f>'Pivot Table'!$D$8:$D$20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Table'!$E$8:$E$20</c:f>
              <c:numCache>
                <c:formatCode>"$"#,##0</c:formatCode>
                <c:ptCount val="12"/>
                <c:pt idx="0">
                  <c:v>1035224</c:v>
                </c:pt>
                <c:pt idx="1">
                  <c:v>1101096</c:v>
                </c:pt>
                <c:pt idx="2">
                  <c:v>1078126</c:v>
                </c:pt>
                <c:pt idx="3">
                  <c:v>1345819</c:v>
                </c:pt>
                <c:pt idx="4">
                  <c:v>1414647</c:v>
                </c:pt>
                <c:pt idx="5">
                  <c:v>991287</c:v>
                </c:pt>
                <c:pt idx="6">
                  <c:v>971711</c:v>
                </c:pt>
                <c:pt idx="7">
                  <c:v>1055322</c:v>
                </c:pt>
                <c:pt idx="8">
                  <c:v>957386</c:v>
                </c:pt>
                <c:pt idx="9">
                  <c:v>600754</c:v>
                </c:pt>
                <c:pt idx="10">
                  <c:v>931911</c:v>
                </c:pt>
                <c:pt idx="11">
                  <c:v>676810</c:v>
                </c:pt>
              </c:numCache>
            </c:numRef>
          </c:val>
          <c:smooth val="0"/>
          <c:extLst>
            <c:ext xmlns:c16="http://schemas.microsoft.com/office/drawing/2014/chart" uri="{C3380CC4-5D6E-409C-BE32-E72D297353CC}">
              <c16:uniqueId val="{00000000-BC1A-472D-B3F3-B8D704336016}"/>
            </c:ext>
          </c:extLst>
        </c:ser>
        <c:dLbls>
          <c:showLegendKey val="0"/>
          <c:showVal val="0"/>
          <c:showCatName val="0"/>
          <c:showSerName val="0"/>
          <c:showPercent val="0"/>
          <c:showBubbleSize val="0"/>
        </c:dLbls>
        <c:smooth val="0"/>
        <c:axId val="1705634784"/>
        <c:axId val="1705638112"/>
      </c:lineChart>
      <c:catAx>
        <c:axId val="170563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1705638112"/>
        <c:crosses val="autoZero"/>
        <c:auto val="1"/>
        <c:lblAlgn val="ctr"/>
        <c:lblOffset val="100"/>
        <c:noMultiLvlLbl val="0"/>
      </c:catAx>
      <c:valAx>
        <c:axId val="17056381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3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Table!Units Sold by Sales Channel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Georgia" panose="02040502050405020303" pitchFamily="18" charset="0"/>
              </a:rPr>
              <a:t>Units Sold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1FF7D"/>
          </a:solidFill>
          <a:ln w="19050">
            <a:solidFill>
              <a:schemeClr val="bg1">
                <a:lumMod val="95000"/>
              </a:schemeClr>
            </a:solidFill>
          </a:ln>
          <a:effectLst/>
        </c:spPr>
      </c:pivotFmt>
      <c:pivotFmt>
        <c:idx val="7"/>
        <c:spPr>
          <a:solidFill>
            <a:srgbClr val="FFC000"/>
          </a:solidFill>
          <a:ln w="19050">
            <a:solidFill>
              <a:schemeClr val="bg1">
                <a:lumMod val="95000"/>
              </a:schemeClr>
            </a:solidFill>
          </a:ln>
          <a:effectLst/>
        </c:spPr>
      </c:pivotFmt>
      <c:pivotFmt>
        <c:idx val="8"/>
        <c:spPr>
          <a:solidFill>
            <a:srgbClr val="6CD2EA"/>
          </a:solidFill>
          <a:ln w="19050">
            <a:solidFill>
              <a:schemeClr val="bg1">
                <a:lumMod val="95000"/>
              </a:schemeClr>
            </a:solidFill>
          </a:ln>
          <a:effectLst/>
        </c:spPr>
      </c:pivotFmt>
    </c:pivotFmts>
    <c:plotArea>
      <c:layout/>
      <c:pieChart>
        <c:varyColors val="1"/>
        <c:ser>
          <c:idx val="0"/>
          <c:order val="0"/>
          <c:tx>
            <c:strRef>
              <c:f>'Pivot Table'!$H$7</c:f>
              <c:strCache>
                <c:ptCount val="1"/>
                <c:pt idx="0">
                  <c:v>Total</c:v>
                </c:pt>
              </c:strCache>
            </c:strRef>
          </c:tx>
          <c:spPr>
            <a:ln>
              <a:solidFill>
                <a:schemeClr val="bg1">
                  <a:lumMod val="95000"/>
                </a:schemeClr>
              </a:solidFill>
            </a:ln>
          </c:spPr>
          <c:dPt>
            <c:idx val="0"/>
            <c:bubble3D val="0"/>
            <c:spPr>
              <a:solidFill>
                <a:srgbClr val="11FF7D"/>
              </a:solidFill>
              <a:ln w="19050">
                <a:solidFill>
                  <a:schemeClr val="bg1">
                    <a:lumMod val="95000"/>
                  </a:schemeClr>
                </a:solidFill>
              </a:ln>
              <a:effectLst/>
            </c:spPr>
            <c:extLst>
              <c:ext xmlns:c16="http://schemas.microsoft.com/office/drawing/2014/chart" uri="{C3380CC4-5D6E-409C-BE32-E72D297353CC}">
                <c16:uniqueId val="{00000001-AFED-4D21-9783-98536DBA645D}"/>
              </c:ext>
            </c:extLst>
          </c:dPt>
          <c:dPt>
            <c:idx val="1"/>
            <c:bubble3D val="0"/>
            <c:spPr>
              <a:solidFill>
                <a:srgbClr val="FFC000"/>
              </a:solidFill>
              <a:ln w="19050">
                <a:solidFill>
                  <a:schemeClr val="bg1">
                    <a:lumMod val="95000"/>
                  </a:schemeClr>
                </a:solidFill>
              </a:ln>
              <a:effectLst/>
            </c:spPr>
            <c:extLst>
              <c:ext xmlns:c16="http://schemas.microsoft.com/office/drawing/2014/chart" uri="{C3380CC4-5D6E-409C-BE32-E72D297353CC}">
                <c16:uniqueId val="{00000003-AFED-4D21-9783-98536DBA645D}"/>
              </c:ext>
            </c:extLst>
          </c:dPt>
          <c:dPt>
            <c:idx val="2"/>
            <c:bubble3D val="0"/>
            <c:spPr>
              <a:solidFill>
                <a:srgbClr val="6CD2EA"/>
              </a:solidFill>
              <a:ln w="19050">
                <a:solidFill>
                  <a:schemeClr val="bg1">
                    <a:lumMod val="95000"/>
                  </a:schemeClr>
                </a:solidFill>
              </a:ln>
              <a:effectLst/>
            </c:spPr>
            <c:extLst>
              <c:ext xmlns:c16="http://schemas.microsoft.com/office/drawing/2014/chart" uri="{C3380CC4-5D6E-409C-BE32-E72D297353CC}">
                <c16:uniqueId val="{00000005-AFED-4D21-9783-98536DBA64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Table'!$G$8:$G$11</c:f>
              <c:strCache>
                <c:ptCount val="3"/>
                <c:pt idx="0">
                  <c:v>Online</c:v>
                </c:pt>
                <c:pt idx="1">
                  <c:v>Partner</c:v>
                </c:pt>
                <c:pt idx="2">
                  <c:v>Retail Store</c:v>
                </c:pt>
              </c:strCache>
            </c:strRef>
          </c:cat>
          <c:val>
            <c:numRef>
              <c:f>'Pivot Table'!$H$8:$H$11</c:f>
              <c:numCache>
                <c:formatCode>"$"#,##0</c:formatCode>
                <c:ptCount val="3"/>
                <c:pt idx="0">
                  <c:v>9278</c:v>
                </c:pt>
                <c:pt idx="1">
                  <c:v>1902</c:v>
                </c:pt>
                <c:pt idx="2">
                  <c:v>4206</c:v>
                </c:pt>
              </c:numCache>
            </c:numRef>
          </c:val>
          <c:extLst>
            <c:ext xmlns:c16="http://schemas.microsoft.com/office/drawing/2014/chart" uri="{C3380CC4-5D6E-409C-BE32-E72D297353CC}">
              <c16:uniqueId val="{00000006-AFED-4D21-9783-98536DBA645D}"/>
            </c:ext>
          </c:extLst>
        </c:ser>
        <c:dLbls>
          <c:dLblPos val="bestFit"/>
          <c:showLegendKey val="0"/>
          <c:showVal val="1"/>
          <c:showCatName val="0"/>
          <c:showSerName val="0"/>
          <c:showPercent val="0"/>
          <c:showBubbleSize val="0"/>
          <c:showLeaderLines val="1"/>
        </c:dLbls>
        <c:firstSliceAng val="14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Table!Revenue by country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E68B"/>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E68B"/>
          </a:solidFill>
          <a:ln>
            <a:noFill/>
          </a:ln>
          <a:effectLst/>
        </c:spPr>
        <c:dLbl>
          <c:idx val="0"/>
          <c:layout>
            <c:manualLayout>
              <c:x val="3.875968992248062E-3"/>
              <c:y val="-0.25333333333333335"/>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E68B"/>
          </a:solidFill>
          <a:ln>
            <a:noFill/>
          </a:ln>
          <a:effectLst/>
        </c:spPr>
        <c:dLbl>
          <c:idx val="0"/>
          <c:layout>
            <c:manualLayout>
              <c:x val="7.1058610649413908E-17"/>
              <c:y val="-7.3333333333333459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E68B"/>
          </a:solidFill>
          <a:ln>
            <a:noFill/>
          </a:ln>
          <a:effectLst/>
        </c:spPr>
        <c:dLbl>
          <c:idx val="0"/>
          <c:layout>
            <c:manualLayout>
              <c:x val="3.875968992248062E-3"/>
              <c:y val="-0.11333333333333333"/>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6E68B"/>
          </a:solidFill>
          <a:ln>
            <a:noFill/>
          </a:ln>
          <a:effectLst/>
        </c:spPr>
        <c:dLbl>
          <c:idx val="0"/>
          <c:layout>
            <c:manualLayout>
              <c:x val="0"/>
              <c:y val="-6.6666666666666666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Table'!$B$15</c:f>
              <c:strCache>
                <c:ptCount val="1"/>
                <c:pt idx="0">
                  <c:v>Total</c:v>
                </c:pt>
              </c:strCache>
            </c:strRef>
          </c:tx>
          <c:spPr>
            <a:solidFill>
              <a:srgbClr val="86E68B"/>
            </a:solidFill>
            <a:ln>
              <a:noFill/>
            </a:ln>
            <a:effectLst/>
          </c:spPr>
          <c:dPt>
            <c:idx val="0"/>
            <c:bubble3D val="0"/>
            <c:extLst>
              <c:ext xmlns:c16="http://schemas.microsoft.com/office/drawing/2014/chart" uri="{C3380CC4-5D6E-409C-BE32-E72D297353CC}">
                <c16:uniqueId val="{00000005-857A-40E6-B0B5-CCC6A605EFBB}"/>
              </c:ext>
            </c:extLst>
          </c:dPt>
          <c:dPt>
            <c:idx val="1"/>
            <c:bubble3D val="0"/>
            <c:extLst>
              <c:ext xmlns:c16="http://schemas.microsoft.com/office/drawing/2014/chart" uri="{C3380CC4-5D6E-409C-BE32-E72D297353CC}">
                <c16:uniqueId val="{00000002-857A-40E6-B0B5-CCC6A605EFBB}"/>
              </c:ext>
            </c:extLst>
          </c:dPt>
          <c:dPt>
            <c:idx val="2"/>
            <c:bubble3D val="0"/>
            <c:extLst>
              <c:ext xmlns:c16="http://schemas.microsoft.com/office/drawing/2014/chart" uri="{C3380CC4-5D6E-409C-BE32-E72D297353CC}">
                <c16:uniqueId val="{00000003-857A-40E6-B0B5-CCC6A605EFBB}"/>
              </c:ext>
            </c:extLst>
          </c:dPt>
          <c:dPt>
            <c:idx val="3"/>
            <c:bubble3D val="0"/>
            <c:extLst>
              <c:ext xmlns:c16="http://schemas.microsoft.com/office/drawing/2014/chart" uri="{C3380CC4-5D6E-409C-BE32-E72D297353CC}">
                <c16:uniqueId val="{00000004-857A-40E6-B0B5-CCC6A605EFBB}"/>
              </c:ext>
            </c:extLst>
          </c:dPt>
          <c:dLbls>
            <c:dLbl>
              <c:idx val="0"/>
              <c:layout>
                <c:manualLayout>
                  <c:x val="0"/>
                  <c:y val="-6.6666666666666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7A-40E6-B0B5-CCC6A605EFBB}"/>
                </c:ext>
              </c:extLst>
            </c:dLbl>
            <c:dLbl>
              <c:idx val="1"/>
              <c:layout>
                <c:manualLayout>
                  <c:x val="3.875968992248062E-3"/>
                  <c:y val="-0.2533333333333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7A-40E6-B0B5-CCC6A605EFBB}"/>
                </c:ext>
              </c:extLst>
            </c:dLbl>
            <c:dLbl>
              <c:idx val="2"/>
              <c:layout>
                <c:manualLayout>
                  <c:x val="7.1058610649413908E-17"/>
                  <c:y val="-7.3333333333333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7A-40E6-B0B5-CCC6A605EFBB}"/>
                </c:ext>
              </c:extLst>
            </c:dLbl>
            <c:dLbl>
              <c:idx val="3"/>
              <c:layout>
                <c:manualLayout>
                  <c:x val="3.875968992248062E-3"/>
                  <c:y val="-0.113333333333333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7A-40E6-B0B5-CCC6A605EFBB}"/>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Bangladesh</c:v>
                </c:pt>
                <c:pt idx="1">
                  <c:v>India</c:v>
                </c:pt>
                <c:pt idx="2">
                  <c:v>Pakistan</c:v>
                </c:pt>
                <c:pt idx="3">
                  <c:v>Turkey</c:v>
                </c:pt>
              </c:strCache>
            </c:strRef>
          </c:cat>
          <c:val>
            <c:numRef>
              <c:f>'Pivot Table'!$B$16:$B$20</c:f>
              <c:numCache>
                <c:formatCode>"$"#,##0</c:formatCode>
                <c:ptCount val="4"/>
                <c:pt idx="0">
                  <c:v>1592163</c:v>
                </c:pt>
                <c:pt idx="1">
                  <c:v>5966832</c:v>
                </c:pt>
                <c:pt idx="2">
                  <c:v>288937</c:v>
                </c:pt>
                <c:pt idx="3">
                  <c:v>4312161</c:v>
                </c:pt>
              </c:numCache>
            </c:numRef>
          </c:val>
          <c:extLst>
            <c:ext xmlns:c16="http://schemas.microsoft.com/office/drawing/2014/chart" uri="{C3380CC4-5D6E-409C-BE32-E72D297353CC}">
              <c16:uniqueId val="{00000000-857A-40E6-B0B5-CCC6A605EFBB}"/>
            </c:ext>
          </c:extLst>
        </c:ser>
        <c:dLbls>
          <c:showLegendKey val="0"/>
          <c:showVal val="1"/>
          <c:showCatName val="0"/>
          <c:showSerName val="0"/>
          <c:showPercent val="0"/>
          <c:showBubbleSize val="0"/>
        </c:dLbls>
        <c:axId val="1705677216"/>
        <c:axId val="1705681376"/>
      </c:areaChart>
      <c:catAx>
        <c:axId val="170567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1705681376"/>
        <c:crosses val="autoZero"/>
        <c:auto val="1"/>
        <c:lblAlgn val="ctr"/>
        <c:lblOffset val="100"/>
        <c:noMultiLvlLbl val="0"/>
      </c:catAx>
      <c:valAx>
        <c:axId val="170568137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77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Table!Average Revenue by Payment Type</c:name>
    <c:fmtId val="8"/>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Georgia" panose="02040502050405020303" pitchFamily="18" charset="0"/>
              </a:rPr>
              <a:t>Average Revenue by Payment </a:t>
            </a:r>
            <a:r>
              <a:rPr lang="en-US" sz="1200" b="1">
                <a:solidFill>
                  <a:schemeClr val="tx1"/>
                </a:solidFill>
                <a:latin typeface="Georgia" panose="02040502050405020303" pitchFamily="18" charset="0"/>
              </a:rPr>
              <a:t>Type</a:t>
            </a:r>
          </a:p>
        </c:rich>
      </c:tx>
      <c:layout>
        <c:manualLayout>
          <c:xMode val="edge"/>
          <c:yMode val="edge"/>
          <c:x val="0.10431230273431011"/>
          <c:y val="4.5977011494252873E-2"/>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2CEE8"/>
          </a:solidFill>
          <a:ln w="19050">
            <a:solidFill>
              <a:schemeClr val="lt1"/>
            </a:solidFill>
          </a:ln>
          <a:effectLst/>
        </c:spPr>
        <c:dLbl>
          <c:idx val="0"/>
          <c:layout>
            <c:manualLayout>
              <c:x val="6.7510548523206745E-2"/>
              <c:y val="-6.5681444991789817E-3"/>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1FF7D"/>
          </a:solidFill>
          <a:ln w="19050">
            <a:solidFill>
              <a:schemeClr val="lt1"/>
            </a:solidFill>
          </a:ln>
          <a:effectLst/>
        </c:spPr>
        <c:dLbl>
          <c:idx val="0"/>
          <c:layout>
            <c:manualLayout>
              <c:x val="6.7510548523206745E-2"/>
              <c:y val="3.9408866995073892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CC"/>
          </a:solidFill>
          <a:ln w="19050">
            <a:solidFill>
              <a:schemeClr val="lt1"/>
            </a:solidFill>
          </a:ln>
          <a:effectLst/>
        </c:spPr>
        <c:dLbl>
          <c:idx val="0"/>
          <c:layout>
            <c:manualLayout>
              <c:x val="-6.0759493670886074E-2"/>
              <c:y val="2.6272577996715927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4135021097046413E-2"/>
              <c:y val="-7.2249589490968866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2201734276887"/>
          <c:y val="0.20886699507389161"/>
          <c:w val="0.37947679324894512"/>
          <c:h val="0.73839080459770112"/>
        </c:manualLayout>
      </c:layout>
      <c:doughnutChart>
        <c:varyColors val="1"/>
        <c:ser>
          <c:idx val="0"/>
          <c:order val="0"/>
          <c:tx>
            <c:strRef>
              <c:f>'Pivot Table'!$H$13</c:f>
              <c:strCache>
                <c:ptCount val="1"/>
                <c:pt idx="0">
                  <c:v>Total</c:v>
                </c:pt>
              </c:strCache>
            </c:strRef>
          </c:tx>
          <c:dPt>
            <c:idx val="0"/>
            <c:bubble3D val="0"/>
            <c:spPr>
              <a:solidFill>
                <a:srgbClr val="62CEE8"/>
              </a:solidFill>
              <a:ln w="19050">
                <a:solidFill>
                  <a:schemeClr val="lt1"/>
                </a:solidFill>
              </a:ln>
              <a:effectLst/>
            </c:spPr>
            <c:extLst>
              <c:ext xmlns:c16="http://schemas.microsoft.com/office/drawing/2014/chart" uri="{C3380CC4-5D6E-409C-BE32-E72D297353CC}">
                <c16:uniqueId val="{00000001-1F77-493C-9716-61D25B5B7538}"/>
              </c:ext>
            </c:extLst>
          </c:dPt>
          <c:dPt>
            <c:idx val="1"/>
            <c:bubble3D val="0"/>
            <c:spPr>
              <a:solidFill>
                <a:srgbClr val="11FF7D"/>
              </a:solidFill>
              <a:ln w="19050">
                <a:solidFill>
                  <a:schemeClr val="lt1"/>
                </a:solidFill>
              </a:ln>
              <a:effectLst/>
            </c:spPr>
            <c:extLst>
              <c:ext xmlns:c16="http://schemas.microsoft.com/office/drawing/2014/chart" uri="{C3380CC4-5D6E-409C-BE32-E72D297353CC}">
                <c16:uniqueId val="{00000003-1F77-493C-9716-61D25B5B7538}"/>
              </c:ext>
            </c:extLst>
          </c:dPt>
          <c:dPt>
            <c:idx val="2"/>
            <c:bubble3D val="0"/>
            <c:spPr>
              <a:solidFill>
                <a:srgbClr val="FFCCCC"/>
              </a:solidFill>
              <a:ln w="19050">
                <a:solidFill>
                  <a:schemeClr val="lt1"/>
                </a:solidFill>
              </a:ln>
              <a:effectLst/>
            </c:spPr>
            <c:extLst>
              <c:ext xmlns:c16="http://schemas.microsoft.com/office/drawing/2014/chart" uri="{C3380CC4-5D6E-409C-BE32-E72D297353CC}">
                <c16:uniqueId val="{00000005-1F77-493C-9716-61D25B5B75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77-493C-9716-61D25B5B7538}"/>
              </c:ext>
            </c:extLst>
          </c:dPt>
          <c:dLbls>
            <c:dLbl>
              <c:idx val="0"/>
              <c:layout>
                <c:manualLayout>
                  <c:x val="6.7510548523206745E-2"/>
                  <c:y val="-6.56814449917898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77-493C-9716-61D25B5B7538}"/>
                </c:ext>
              </c:extLst>
            </c:dLbl>
            <c:dLbl>
              <c:idx val="1"/>
              <c:layout>
                <c:manualLayout>
                  <c:x val="6.7510548523206745E-2"/>
                  <c:y val="3.9408866995073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77-493C-9716-61D25B5B7538}"/>
                </c:ext>
              </c:extLst>
            </c:dLbl>
            <c:dLbl>
              <c:idx val="2"/>
              <c:layout>
                <c:manualLayout>
                  <c:x val="-6.0759493670886074E-2"/>
                  <c:y val="2.6272577996715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77-493C-9716-61D25B5B7538}"/>
                </c:ext>
              </c:extLst>
            </c:dLbl>
            <c:dLbl>
              <c:idx val="3"/>
              <c:layout>
                <c:manualLayout>
                  <c:x val="-6.4135021097046413E-2"/>
                  <c:y val="-7.2249589490968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77-493C-9716-61D25B5B7538}"/>
                </c:ext>
              </c:extLst>
            </c:dLbl>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Table'!$G$14:$G$18</c:f>
              <c:strCache>
                <c:ptCount val="4"/>
                <c:pt idx="0">
                  <c:v>Cash</c:v>
                </c:pt>
                <c:pt idx="1">
                  <c:v>Credit Card</c:v>
                </c:pt>
                <c:pt idx="2">
                  <c:v>EMI</c:v>
                </c:pt>
                <c:pt idx="3">
                  <c:v>UPI</c:v>
                </c:pt>
              </c:strCache>
            </c:strRef>
          </c:cat>
          <c:val>
            <c:numRef>
              <c:f>'Pivot Table'!$H$14:$H$18</c:f>
              <c:numCache>
                <c:formatCode>"$"#,##0</c:formatCode>
                <c:ptCount val="4"/>
                <c:pt idx="0">
                  <c:v>61285</c:v>
                </c:pt>
                <c:pt idx="1">
                  <c:v>65201</c:v>
                </c:pt>
                <c:pt idx="2">
                  <c:v>62198</c:v>
                </c:pt>
                <c:pt idx="3">
                  <c:v>50779</c:v>
                </c:pt>
              </c:numCache>
            </c:numRef>
          </c:val>
          <c:extLst>
            <c:ext xmlns:c16="http://schemas.microsoft.com/office/drawing/2014/chart" uri="{C3380CC4-5D6E-409C-BE32-E72D297353CC}">
              <c16:uniqueId val="{00000008-1F77-493C-9716-61D25B5B7538}"/>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Table!Total Revenue by Gender</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a:t>
            </a:r>
            <a:r>
              <a:rPr lang="en-US" b="1" baseline="0">
                <a:solidFill>
                  <a:schemeClr val="tx1"/>
                </a:solidFill>
                <a:latin typeface="Georgia" panose="02040502050405020303" pitchFamily="18" charset="0"/>
              </a:rPr>
              <a:t> by Gender</a:t>
            </a:r>
            <a:endParaRPr lang="en-US" b="1">
              <a:solidFill>
                <a:schemeClr val="tx1"/>
              </a:solidFill>
              <a:latin typeface="Georgia" panose="02040502050405020303" pitchFamily="18" charset="0"/>
            </a:endParaRPr>
          </a:p>
        </c:rich>
      </c:tx>
      <c:layout>
        <c:manualLayout>
          <c:xMode val="edge"/>
          <c:yMode val="edge"/>
          <c:x val="0.21094794866047789"/>
          <c:y val="4.690134321445113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E68B"/>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E68B"/>
          </a:solidFill>
          <a:ln>
            <a:noFill/>
          </a:ln>
          <a:effectLst/>
        </c:spPr>
        <c:dLbl>
          <c:idx val="0"/>
          <c:layout>
            <c:manualLayout>
              <c:x val="0.10821256038647339"/>
              <c:y val="0"/>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E68B"/>
          </a:solidFill>
          <a:ln>
            <a:noFill/>
          </a:ln>
          <a:effectLst/>
        </c:spPr>
        <c:dLbl>
          <c:idx val="0"/>
          <c:layout>
            <c:manualLayout>
              <c:x val="0.16231884057971008"/>
              <c:y val="0"/>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E68B"/>
          </a:solidFill>
          <a:ln>
            <a:noFill/>
          </a:ln>
          <a:effectLst/>
        </c:spPr>
        <c:dLbl>
          <c:idx val="0"/>
          <c:layout>
            <c:manualLayout>
              <c:x val="0.22028985507246371"/>
              <c:y val="-6.5359477124184205E-3"/>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Table'!$B$22</c:f>
              <c:strCache>
                <c:ptCount val="1"/>
                <c:pt idx="0">
                  <c:v>Total</c:v>
                </c:pt>
              </c:strCache>
            </c:strRef>
          </c:tx>
          <c:spPr>
            <a:solidFill>
              <a:srgbClr val="86E68B"/>
            </a:solidFill>
            <a:ln>
              <a:noFill/>
            </a:ln>
            <a:effectLst/>
          </c:spPr>
          <c:invertIfNegative val="0"/>
          <c:dPt>
            <c:idx val="0"/>
            <c:invertIfNegative val="0"/>
            <c:bubble3D val="0"/>
            <c:extLst>
              <c:ext xmlns:c16="http://schemas.microsoft.com/office/drawing/2014/chart" uri="{C3380CC4-5D6E-409C-BE32-E72D297353CC}">
                <c16:uniqueId val="{00000004-EA5A-4FF6-B332-04C588534F46}"/>
              </c:ext>
            </c:extLst>
          </c:dPt>
          <c:dPt>
            <c:idx val="1"/>
            <c:invertIfNegative val="0"/>
            <c:bubble3D val="0"/>
            <c:extLst>
              <c:ext xmlns:c16="http://schemas.microsoft.com/office/drawing/2014/chart" uri="{C3380CC4-5D6E-409C-BE32-E72D297353CC}">
                <c16:uniqueId val="{00000003-EA5A-4FF6-B332-04C588534F46}"/>
              </c:ext>
            </c:extLst>
          </c:dPt>
          <c:dPt>
            <c:idx val="2"/>
            <c:invertIfNegative val="0"/>
            <c:bubble3D val="0"/>
            <c:extLst>
              <c:ext xmlns:c16="http://schemas.microsoft.com/office/drawing/2014/chart" uri="{C3380CC4-5D6E-409C-BE32-E72D297353CC}">
                <c16:uniqueId val="{00000002-EA5A-4FF6-B332-04C588534F46}"/>
              </c:ext>
            </c:extLst>
          </c:dPt>
          <c:dLbls>
            <c:dLbl>
              <c:idx val="0"/>
              <c:layout>
                <c:manualLayout>
                  <c:x val="0.22028985507246371"/>
                  <c:y val="-6.53594771241842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5A-4FF6-B332-04C588534F46}"/>
                </c:ext>
              </c:extLst>
            </c:dLbl>
            <c:dLbl>
              <c:idx val="1"/>
              <c:layout>
                <c:manualLayout>
                  <c:x val="0.1623188405797100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5A-4FF6-B332-04C588534F46}"/>
                </c:ext>
              </c:extLst>
            </c:dLbl>
            <c:dLbl>
              <c:idx val="2"/>
              <c:layout>
                <c:manualLayout>
                  <c:x val="0.1082125603864733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5A-4FF6-B332-04C588534F46}"/>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Table'!$A$23:$A$26</c:f>
              <c:strCache>
                <c:ptCount val="3"/>
                <c:pt idx="0">
                  <c:v>Female</c:v>
                </c:pt>
                <c:pt idx="1">
                  <c:v>Male</c:v>
                </c:pt>
                <c:pt idx="2">
                  <c:v>Other</c:v>
                </c:pt>
              </c:strCache>
            </c:strRef>
          </c:cat>
          <c:val>
            <c:numRef>
              <c:f>'Pivot Table'!$B$23:$B$26</c:f>
              <c:numCache>
                <c:formatCode>"$"#,##0</c:formatCode>
                <c:ptCount val="3"/>
                <c:pt idx="0">
                  <c:v>6091320</c:v>
                </c:pt>
                <c:pt idx="1">
                  <c:v>5041142</c:v>
                </c:pt>
                <c:pt idx="2">
                  <c:v>1027631</c:v>
                </c:pt>
              </c:numCache>
            </c:numRef>
          </c:val>
          <c:extLst>
            <c:ext xmlns:c16="http://schemas.microsoft.com/office/drawing/2014/chart" uri="{C3380CC4-5D6E-409C-BE32-E72D297353CC}">
              <c16:uniqueId val="{00000000-EA5A-4FF6-B332-04C588534F46}"/>
            </c:ext>
          </c:extLst>
        </c:ser>
        <c:dLbls>
          <c:dLblPos val="ctr"/>
          <c:showLegendKey val="0"/>
          <c:showVal val="1"/>
          <c:showCatName val="0"/>
          <c:showSerName val="0"/>
          <c:showPercent val="0"/>
          <c:showBubbleSize val="0"/>
        </c:dLbls>
        <c:gapWidth val="70"/>
        <c:overlap val="100"/>
        <c:axId val="1705686784"/>
        <c:axId val="1705685952"/>
      </c:barChart>
      <c:catAx>
        <c:axId val="170568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1705685952"/>
        <c:crosses val="autoZero"/>
        <c:auto val="1"/>
        <c:lblAlgn val="ctr"/>
        <c:lblOffset val="100"/>
        <c:noMultiLvlLbl val="0"/>
      </c:catAx>
      <c:valAx>
        <c:axId val="170568595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8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B050"/>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50"/>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50"/>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B050"/>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dLblPos val="inEnd"/>
          <c:showLegendKey val="0"/>
          <c:showVal val="1"/>
          <c:showCatName val="0"/>
          <c:showSerName val="0"/>
          <c:showPercent val="0"/>
          <c:showBubbleSize val="0"/>
        </c:dLbls>
        <c:gapWidth val="150"/>
        <c:overlap val="100"/>
        <c:axId val="2131666991"/>
        <c:axId val="881003679"/>
      </c:barChart>
      <c:catAx>
        <c:axId val="21316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1003679"/>
        <c:crosses val="autoZero"/>
        <c:auto val="1"/>
        <c:lblAlgn val="ctr"/>
        <c:lblOffset val="100"/>
        <c:noMultiLvlLbl val="0"/>
      </c:catAx>
      <c:valAx>
        <c:axId val="881003679"/>
        <c:scaling>
          <c:orientation val="minMax"/>
        </c:scaling>
        <c:delete val="1"/>
        <c:axPos val="l"/>
        <c:numFmt formatCode="General" sourceLinked="1"/>
        <c:majorTickMark val="none"/>
        <c:minorTickMark val="none"/>
        <c:tickLblPos val="nextTo"/>
        <c:crossAx val="21316669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s>
    <c:plotArea>
      <c:layout/>
      <c:barChart>
        <c:barDir val="col"/>
        <c:grouping val="clustered"/>
        <c:varyColors val="0"/>
        <c:dLbls>
          <c:dLblPos val="outEnd"/>
          <c:showLegendKey val="0"/>
          <c:showVal val="1"/>
          <c:showCatName val="0"/>
          <c:showSerName val="0"/>
          <c:showPercent val="0"/>
          <c:showBubbleSize val="0"/>
        </c:dLbls>
        <c:gapWidth val="161"/>
        <c:overlap val="-27"/>
        <c:axId val="1903297120"/>
        <c:axId val="1175514688"/>
      </c:barChart>
      <c:catAx>
        <c:axId val="190329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5514688"/>
        <c:crosses val="autoZero"/>
        <c:auto val="1"/>
        <c:lblAlgn val="ctr"/>
        <c:lblOffset val="100"/>
        <c:noMultiLvlLbl val="0"/>
      </c:catAx>
      <c:valAx>
        <c:axId val="11755146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032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Table!Total Revenue by Brand</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Georgia" panose="02040502050405020303" pitchFamily="18" charset="0"/>
              </a:rPr>
              <a:t>Revenue</a:t>
            </a:r>
            <a:r>
              <a:rPr lang="en-US" b="1" baseline="0">
                <a:solidFill>
                  <a:schemeClr val="tx1"/>
                </a:solidFill>
                <a:latin typeface="Georgia" panose="02040502050405020303" pitchFamily="18" charset="0"/>
              </a:rPr>
              <a:t> by Brand</a:t>
            </a:r>
            <a:endParaRPr lang="en-US" b="1">
              <a:solidFill>
                <a:schemeClr val="tx1"/>
              </a:solidFill>
              <a:latin typeface="Georgia" panose="02040502050405020303" pitchFamily="18" charset="0"/>
            </a:endParaRPr>
          </a:p>
        </c:rich>
      </c:tx>
      <c:layout>
        <c:manualLayout>
          <c:xMode val="edge"/>
          <c:yMode val="edge"/>
          <c:x val="0.22510189539514844"/>
          <c:y val="3.8461538461538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DA88"/>
          </a:solidFill>
          <a:ln>
            <a:noFill/>
          </a:ln>
          <a:effectLst/>
        </c:spPr>
      </c:pivotFmt>
      <c:pivotFmt>
        <c:idx val="4"/>
        <c:spPr>
          <a:solidFill>
            <a:srgbClr val="78DA88"/>
          </a:solidFill>
          <a:ln>
            <a:noFill/>
          </a:ln>
          <a:effectLst/>
        </c:spPr>
      </c:pivotFmt>
      <c:pivotFmt>
        <c:idx val="5"/>
        <c:spPr>
          <a:solidFill>
            <a:srgbClr val="78DA88"/>
          </a:solidFill>
          <a:ln>
            <a:noFill/>
          </a:ln>
          <a:effectLst/>
        </c:spPr>
      </c:pivotFmt>
      <c:pivotFmt>
        <c:idx val="6"/>
        <c:spPr>
          <a:solidFill>
            <a:srgbClr val="78DA88"/>
          </a:solidFill>
          <a:ln>
            <a:noFill/>
          </a:ln>
          <a:effectLst/>
        </c:spPr>
      </c:pivotFmt>
      <c:pivotFmt>
        <c:idx val="7"/>
        <c:spPr>
          <a:solidFill>
            <a:srgbClr val="78DA88"/>
          </a:solidFill>
          <a:ln>
            <a:noFill/>
          </a:ln>
          <a:effectLst/>
        </c:spPr>
      </c:pivotFmt>
    </c:pivotFmts>
    <c:plotArea>
      <c:layout/>
      <c:barChart>
        <c:barDir val="col"/>
        <c:grouping val="clustered"/>
        <c:varyColors val="0"/>
        <c:ser>
          <c:idx val="0"/>
          <c:order val="0"/>
          <c:tx>
            <c:strRef>
              <c:f>'Pivot Table'!$B$7</c:f>
              <c:strCache>
                <c:ptCount val="1"/>
                <c:pt idx="0">
                  <c:v>Total</c:v>
                </c:pt>
              </c:strCache>
            </c:strRef>
          </c:tx>
          <c:spPr>
            <a:solidFill>
              <a:srgbClr val="78DA88"/>
            </a:solidFill>
            <a:ln>
              <a:noFill/>
            </a:ln>
            <a:effectLst/>
          </c:spPr>
          <c:invertIfNegative val="0"/>
          <c:dPt>
            <c:idx val="1"/>
            <c:invertIfNegative val="0"/>
            <c:bubble3D val="0"/>
            <c:extLst>
              <c:ext xmlns:c16="http://schemas.microsoft.com/office/drawing/2014/chart" uri="{C3380CC4-5D6E-409C-BE32-E72D297353CC}">
                <c16:uniqueId val="{00000000-E9D5-4F89-8D67-B5BC9BC5D6EB}"/>
              </c:ext>
            </c:extLst>
          </c:dPt>
          <c:dPt>
            <c:idx val="2"/>
            <c:invertIfNegative val="0"/>
            <c:bubble3D val="0"/>
            <c:extLst>
              <c:ext xmlns:c16="http://schemas.microsoft.com/office/drawing/2014/chart" uri="{C3380CC4-5D6E-409C-BE32-E72D297353CC}">
                <c16:uniqueId val="{00000001-E9D5-4F89-8D67-B5BC9BC5D6EB}"/>
              </c:ext>
            </c:extLst>
          </c:dPt>
          <c:dPt>
            <c:idx val="3"/>
            <c:invertIfNegative val="0"/>
            <c:bubble3D val="0"/>
            <c:extLst>
              <c:ext xmlns:c16="http://schemas.microsoft.com/office/drawing/2014/chart" uri="{C3380CC4-5D6E-409C-BE32-E72D297353CC}">
                <c16:uniqueId val="{00000002-E9D5-4F89-8D67-B5BC9BC5D6EB}"/>
              </c:ext>
            </c:extLst>
          </c:dPt>
          <c:dPt>
            <c:idx val="4"/>
            <c:invertIfNegative val="0"/>
            <c:bubble3D val="0"/>
            <c:extLst>
              <c:ext xmlns:c16="http://schemas.microsoft.com/office/drawing/2014/chart" uri="{C3380CC4-5D6E-409C-BE32-E72D297353CC}">
                <c16:uniqueId val="{00000003-E9D5-4F89-8D67-B5BC9BC5D6EB}"/>
              </c:ext>
            </c:extLst>
          </c:dPt>
          <c:dLbls>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Apple</c:v>
                </c:pt>
                <c:pt idx="1">
                  <c:v>Google</c:v>
                </c:pt>
                <c:pt idx="2">
                  <c:v>OnePlus</c:v>
                </c:pt>
                <c:pt idx="3">
                  <c:v>Samsung</c:v>
                </c:pt>
                <c:pt idx="4">
                  <c:v>Xiaomi</c:v>
                </c:pt>
              </c:strCache>
            </c:strRef>
          </c:cat>
          <c:val>
            <c:numRef>
              <c:f>'Pivot Table'!$B$8:$B$13</c:f>
              <c:numCache>
                <c:formatCode>"$"#,##0</c:formatCode>
                <c:ptCount val="5"/>
                <c:pt idx="0">
                  <c:v>2935124</c:v>
                </c:pt>
                <c:pt idx="1">
                  <c:v>2131423</c:v>
                </c:pt>
                <c:pt idx="2">
                  <c:v>2444033</c:v>
                </c:pt>
                <c:pt idx="3">
                  <c:v>3147138</c:v>
                </c:pt>
                <c:pt idx="4">
                  <c:v>1502375</c:v>
                </c:pt>
              </c:numCache>
            </c:numRef>
          </c:val>
          <c:extLst>
            <c:ext xmlns:c16="http://schemas.microsoft.com/office/drawing/2014/chart" uri="{C3380CC4-5D6E-409C-BE32-E72D297353CC}">
              <c16:uniqueId val="{00000001-CAFA-42C7-9529-02F8CD7E7549}"/>
            </c:ext>
          </c:extLst>
        </c:ser>
        <c:dLbls>
          <c:dLblPos val="outEnd"/>
          <c:showLegendKey val="0"/>
          <c:showVal val="1"/>
          <c:showCatName val="0"/>
          <c:showSerName val="0"/>
          <c:showPercent val="0"/>
          <c:showBubbleSize val="0"/>
        </c:dLbls>
        <c:gapWidth val="99"/>
        <c:overlap val="-27"/>
        <c:axId val="2027219967"/>
        <c:axId val="2027217471"/>
      </c:barChart>
      <c:catAx>
        <c:axId val="202721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eorgia" panose="02040502050405020303" pitchFamily="18" charset="0"/>
                <a:ea typeface="+mn-ea"/>
                <a:cs typeface="+mn-cs"/>
              </a:defRPr>
            </a:pPr>
            <a:endParaRPr lang="en-US"/>
          </a:p>
        </c:txPr>
        <c:crossAx val="2027217471"/>
        <c:crosses val="autoZero"/>
        <c:auto val="1"/>
        <c:lblAlgn val="ctr"/>
        <c:lblOffset val="100"/>
        <c:noMultiLvlLbl val="0"/>
      </c:catAx>
      <c:valAx>
        <c:axId val="202721747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272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Georgia" panose="02040502050405020303" pitchFamily="18" charset="0"/>
              </a:rPr>
              <a:t>Monthly</a:t>
            </a:r>
            <a:r>
              <a:rPr lang="en-US" b="1" baseline="0">
                <a:solidFill>
                  <a:sysClr val="windowText" lastClr="000000"/>
                </a:solidFill>
                <a:latin typeface="Georgia" panose="02040502050405020303" pitchFamily="18" charset="0"/>
              </a:rPr>
              <a:t> Revenue Trend</a:t>
            </a:r>
          </a:p>
          <a:p>
            <a:pPr>
              <a:defRPr/>
            </a:pPr>
            <a:endParaRPr lang="en-US" b="1">
              <a:solidFill>
                <a:sysClr val="windowText" lastClr="000000"/>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flat">
            <a:solidFill>
              <a:schemeClr val="accent4"/>
            </a:solidFill>
            <a:prstDash val="sysDash"/>
            <a:miter lim="800000"/>
            <a:headEnd type="stealth" w="sm" len="sm"/>
            <a:tailEnd type="stealt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cmpd="sng">
              <a:solidFill>
                <a:schemeClr val="accent4"/>
              </a:solidFill>
              <a:prstDash val="solid"/>
              <a:bevel/>
              <a:headEnd type="stealth" w="sm" len="sm"/>
              <a:tailEnd type="stealth"/>
            </a:ln>
            <a:effectLst/>
          </c:spPr>
          <c:marker>
            <c:symbol val="none"/>
          </c:marker>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General</c:formatCode>
              <c:ptCount val="12"/>
              <c:pt idx="0">
                <c:v>1035224</c:v>
              </c:pt>
              <c:pt idx="1">
                <c:v>1101096</c:v>
              </c:pt>
              <c:pt idx="2">
                <c:v>1078126</c:v>
              </c:pt>
              <c:pt idx="3">
                <c:v>1345819</c:v>
              </c:pt>
              <c:pt idx="4">
                <c:v>1414647</c:v>
              </c:pt>
              <c:pt idx="5">
                <c:v>991287</c:v>
              </c:pt>
              <c:pt idx="6">
                <c:v>971711</c:v>
              </c:pt>
              <c:pt idx="7">
                <c:v>1055322</c:v>
              </c:pt>
              <c:pt idx="8">
                <c:v>957386</c:v>
              </c:pt>
              <c:pt idx="9">
                <c:v>600754</c:v>
              </c:pt>
              <c:pt idx="10">
                <c:v>931911</c:v>
              </c:pt>
              <c:pt idx="11">
                <c:v>676810</c:v>
              </c:pt>
            </c:numLit>
          </c:val>
          <c:smooth val="0"/>
          <c:extLst>
            <c:ext xmlns:c16="http://schemas.microsoft.com/office/drawing/2014/chart" uri="{C3380CC4-5D6E-409C-BE32-E72D297353CC}">
              <c16:uniqueId val="{00000000-66D4-4E8C-8DD5-6D48B7F8789E}"/>
            </c:ext>
          </c:extLst>
        </c:ser>
        <c:dLbls>
          <c:showLegendKey val="0"/>
          <c:showVal val="0"/>
          <c:showCatName val="0"/>
          <c:showSerName val="0"/>
          <c:showPercent val="0"/>
          <c:showBubbleSize val="0"/>
        </c:dLbls>
        <c:smooth val="0"/>
        <c:axId val="40808911"/>
        <c:axId val="40809327"/>
      </c:lineChart>
      <c:catAx>
        <c:axId val="40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Georgia" panose="02040502050405020303" pitchFamily="18" charset="0"/>
                <a:ea typeface="+mn-ea"/>
                <a:cs typeface="+mn-cs"/>
              </a:defRPr>
            </a:pPr>
            <a:endParaRPr lang="en-US"/>
          </a:p>
        </c:txPr>
        <c:crossAx val="40809327"/>
        <c:crosses val="autoZero"/>
        <c:auto val="1"/>
        <c:lblAlgn val="ctr"/>
        <c:lblOffset val="100"/>
        <c:noMultiLvlLbl val="0"/>
      </c:catAx>
      <c:valAx>
        <c:axId val="408093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80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Units Sold by Sales Channel</a:t>
            </a:r>
          </a:p>
        </c:rich>
      </c:tx>
      <c:layout>
        <c:manualLayout>
          <c:xMode val="edge"/>
          <c:yMode val="edge"/>
          <c:x val="0.11044500119303269"/>
          <c:y val="1.9230778937401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5F57F"/>
          </a:solidFill>
          <a:ln w="19050">
            <a:solidFill>
              <a:schemeClr val="bg1">
                <a:lumMod val="9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241955-4FF4-4FAC-875E-FEADCD90187E}" type="PERCENTAG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FFC000"/>
          </a:solidFill>
          <a:ln w="19050">
            <a:solidFill>
              <a:schemeClr val="bg1">
                <a:lumMod val="9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36214F-C50D-4988-BBC7-D2FA6CF46691}" type="PERCENTAG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6FBBF9"/>
          </a:solidFill>
          <a:ln w="19050">
            <a:solidFill>
              <a:schemeClr val="bg1">
                <a:lumMod val="9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93D8D4-0EDC-46E5-BFB5-D61B7A87AA79}" type="PERCENTAG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spPr>
            <a:ln>
              <a:solidFill>
                <a:schemeClr val="bg1">
                  <a:lumMod val="95000"/>
                </a:schemeClr>
              </a:solidFill>
            </a:ln>
          </c:spPr>
          <c:dPt>
            <c:idx val="0"/>
            <c:bubble3D val="0"/>
            <c:spPr>
              <a:solidFill>
                <a:srgbClr val="55F57F"/>
              </a:solidFill>
              <a:ln w="19050">
                <a:solidFill>
                  <a:schemeClr val="bg1">
                    <a:lumMod val="95000"/>
                  </a:schemeClr>
                </a:solidFill>
              </a:ln>
              <a:effectLst/>
            </c:spPr>
            <c:extLst>
              <c:ext xmlns:c16="http://schemas.microsoft.com/office/drawing/2014/chart" uri="{C3380CC4-5D6E-409C-BE32-E72D297353CC}">
                <c16:uniqueId val="{00000001-2671-4C50-A420-890B1CED40BE}"/>
              </c:ext>
            </c:extLst>
          </c:dPt>
          <c:dPt>
            <c:idx val="1"/>
            <c:bubble3D val="0"/>
            <c:spPr>
              <a:solidFill>
                <a:srgbClr val="FFC000"/>
              </a:solidFill>
              <a:ln w="19050">
                <a:solidFill>
                  <a:schemeClr val="bg1">
                    <a:lumMod val="95000"/>
                  </a:schemeClr>
                </a:solidFill>
              </a:ln>
              <a:effectLst/>
            </c:spPr>
            <c:extLst>
              <c:ext xmlns:c16="http://schemas.microsoft.com/office/drawing/2014/chart" uri="{C3380CC4-5D6E-409C-BE32-E72D297353CC}">
                <c16:uniqueId val="{00000003-2671-4C50-A420-890B1CED40BE}"/>
              </c:ext>
            </c:extLst>
          </c:dPt>
          <c:dPt>
            <c:idx val="2"/>
            <c:bubble3D val="0"/>
            <c:spPr>
              <a:solidFill>
                <a:srgbClr val="6FBBF9"/>
              </a:solidFill>
              <a:ln w="19050">
                <a:solidFill>
                  <a:schemeClr val="bg1">
                    <a:lumMod val="95000"/>
                  </a:schemeClr>
                </a:solidFill>
              </a:ln>
              <a:effectLst/>
            </c:spPr>
            <c:extLst>
              <c:ext xmlns:c16="http://schemas.microsoft.com/office/drawing/2014/chart" uri="{C3380CC4-5D6E-409C-BE32-E72D297353CC}">
                <c16:uniqueId val="{00000005-2671-4C50-A420-890B1CED40BE}"/>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241955-4FF4-4FAC-875E-FEADCD90187E}" type="PERCENTAGE">
                      <a:rPr lang="en-US">
                        <a:solidFill>
                          <a:schemeClr val="tx1"/>
                        </a:solidFill>
                        <a:latin typeface="Times New Roman" panose="02020603050405020304" pitchFamily="18" charset="0"/>
                        <a:cs typeface="Times New Roman" panose="02020603050405020304" pitchFamily="18" charset="0"/>
                      </a:rPr>
                      <a:pPr>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71-4C50-A420-890B1CED40BE}"/>
                </c:ext>
              </c:extLst>
            </c:dLbl>
            <c:dLbl>
              <c:idx val="1"/>
              <c:tx>
                <c:rich>
                  <a:bodyPr/>
                  <a:lstStyle/>
                  <a:p>
                    <a:fld id="{C936214F-C50D-4988-BBC7-D2FA6CF46691}" type="PERCENTAGE">
                      <a:rPr lang="en-US">
                        <a:solidFill>
                          <a:schemeClr val="tx1"/>
                        </a:solidFill>
                        <a:latin typeface="Times New Roman" panose="02020603050405020304" pitchFamily="18" charset="0"/>
                        <a:cs typeface="Times New Roman" panose="02020603050405020304" pitchFamily="18" charset="0"/>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671-4C50-A420-890B1CED40BE}"/>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93D8D4-0EDC-46E5-BFB5-D61B7A87AA79}" type="PERCENTAGE">
                      <a:rPr lang="en-US">
                        <a:solidFill>
                          <a:schemeClr val="tx1"/>
                        </a:solidFill>
                        <a:latin typeface="Times New Roman" panose="02020603050405020304" pitchFamily="18" charset="0"/>
                        <a:cs typeface="Times New Roman" panose="02020603050405020304" pitchFamily="18" charset="0"/>
                      </a:rPr>
                      <a:pPr>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671-4C50-A420-890B1CED40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Online</c:v>
              </c:pt>
              <c:pt idx="1">
                <c:v>Partner</c:v>
              </c:pt>
              <c:pt idx="2">
                <c:v>Retail Store</c:v>
              </c:pt>
            </c:strLit>
          </c:cat>
          <c:val>
            <c:numLit>
              <c:formatCode>General</c:formatCode>
              <c:ptCount val="3"/>
              <c:pt idx="0">
                <c:v>9278</c:v>
              </c:pt>
              <c:pt idx="1">
                <c:v>1902</c:v>
              </c:pt>
              <c:pt idx="2">
                <c:v>4206</c:v>
              </c:pt>
            </c:numLit>
          </c:val>
          <c:extLst>
            <c:ext xmlns:c16="http://schemas.microsoft.com/office/drawing/2014/chart" uri="{C3380CC4-5D6E-409C-BE32-E72D297353CC}">
              <c16:uniqueId val="{00000006-2671-4C50-A420-890B1CED40BE}"/>
            </c:ext>
          </c:extLst>
        </c:ser>
        <c:dLbls>
          <c:dLblPos val="bestFit"/>
          <c:showLegendKey val="0"/>
          <c:showVal val="1"/>
          <c:showCatName val="0"/>
          <c:showSerName val="0"/>
          <c:showPercent val="0"/>
          <c:showBubbleSize val="0"/>
          <c:showLeaderLines val="1"/>
        </c:dLbls>
        <c:firstSliceAng val="14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a:t>
            </a:r>
            <a:r>
              <a:rPr lang="en-US" b="1" baseline="0">
                <a:solidFill>
                  <a:schemeClr val="tx1"/>
                </a:solidFill>
                <a:latin typeface="Georgia" panose="02040502050405020303" pitchFamily="18" charset="0"/>
              </a:rPr>
              <a:t> by Gender</a:t>
            </a:r>
            <a:endParaRPr lang="en-US" b="1">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DA88"/>
          </a:solidFill>
          <a:ln>
            <a:noFill/>
          </a:ln>
          <a:effectLst/>
        </c:spPr>
        <c:dLbl>
          <c:idx val="0"/>
          <c:layout>
            <c:manualLayout>
              <c:x val="-0.17391304347826092"/>
              <c:y val="-1.2161274658407157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E95501-D1E2-4B51-B951-7EF40046CD3B}"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78DA88"/>
          </a:solidFill>
          <a:ln>
            <a:noFill/>
          </a:ln>
          <a:effectLst/>
        </c:spPr>
        <c:dLbl>
          <c:idx val="0"/>
          <c:layout>
            <c:manualLayout>
              <c:x val="-0.17050298380221654"/>
              <c:y val="-1.2161274658407157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EF593C-2DD0-44F1-9F26-BC46F33C6CE3}"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78DA88"/>
          </a:solidFill>
          <a:ln>
            <a:noFill/>
          </a:ln>
          <a:effectLst/>
        </c:spPr>
        <c:dLbl>
          <c:idx val="0"/>
          <c:layout>
            <c:manualLayout>
              <c:x val="-6.1381074168797956E-2"/>
              <c:y val="-1.32669983416252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428DCD-1D4A-46C2-BCCB-E4B1C6048DD3}"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v>Total</c:v>
          </c:tx>
          <c:spPr>
            <a:solidFill>
              <a:srgbClr val="78DA88"/>
            </a:solidFill>
            <a:ln>
              <a:noFill/>
            </a:ln>
            <a:effectLst/>
          </c:spPr>
          <c:invertIfNegative val="0"/>
          <c:dPt>
            <c:idx val="0"/>
            <c:invertIfNegative val="0"/>
            <c:bubble3D val="0"/>
            <c:extLst>
              <c:ext xmlns:c16="http://schemas.microsoft.com/office/drawing/2014/chart" uri="{C3380CC4-5D6E-409C-BE32-E72D297353CC}">
                <c16:uniqueId val="{00000002-523E-411A-971A-FFCC3FA8C2F9}"/>
              </c:ext>
            </c:extLst>
          </c:dPt>
          <c:dPt>
            <c:idx val="1"/>
            <c:invertIfNegative val="0"/>
            <c:bubble3D val="0"/>
            <c:extLst>
              <c:ext xmlns:c16="http://schemas.microsoft.com/office/drawing/2014/chart" uri="{C3380CC4-5D6E-409C-BE32-E72D297353CC}">
                <c16:uniqueId val="{00000003-523E-411A-971A-FFCC3FA8C2F9}"/>
              </c:ext>
            </c:extLst>
          </c:dPt>
          <c:dPt>
            <c:idx val="2"/>
            <c:invertIfNegative val="0"/>
            <c:bubble3D val="0"/>
            <c:extLst>
              <c:ext xmlns:c16="http://schemas.microsoft.com/office/drawing/2014/chart" uri="{C3380CC4-5D6E-409C-BE32-E72D297353CC}">
                <c16:uniqueId val="{00000004-523E-411A-971A-FFCC3FA8C2F9}"/>
              </c:ext>
            </c:extLst>
          </c:dPt>
          <c:dLbls>
            <c:dLbl>
              <c:idx val="0"/>
              <c:layout>
                <c:manualLayout>
                  <c:x val="-0.17391304347826092"/>
                  <c:y val="-1.2161274658407157E-16"/>
                </c:manualLayout>
              </c:layout>
              <c:tx>
                <c:rich>
                  <a:bodyPr/>
                  <a:lstStyle/>
                  <a:p>
                    <a:fld id="{8EE95501-D1E2-4B51-B951-7EF40046CD3B}"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23E-411A-971A-FFCC3FA8C2F9}"/>
                </c:ext>
              </c:extLst>
            </c:dLbl>
            <c:dLbl>
              <c:idx val="1"/>
              <c:layout>
                <c:manualLayout>
                  <c:x val="-0.17050298380221654"/>
                  <c:y val="-1.2161274658407157E-16"/>
                </c:manualLayout>
              </c:layout>
              <c:tx>
                <c:rich>
                  <a:bodyPr/>
                  <a:lstStyle/>
                  <a:p>
                    <a:fld id="{47EF593C-2DD0-44F1-9F26-BC46F33C6CE3}"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23E-411A-971A-FFCC3FA8C2F9}"/>
                </c:ext>
              </c:extLst>
            </c:dLbl>
            <c:dLbl>
              <c:idx val="2"/>
              <c:layout>
                <c:manualLayout>
                  <c:x val="-6.1381074168797956E-2"/>
                  <c:y val="-1.3266998341625208E-2"/>
                </c:manualLayout>
              </c:layout>
              <c:tx>
                <c:rich>
                  <a:bodyPr/>
                  <a:lstStyle/>
                  <a:p>
                    <a:fld id="{7F428DCD-1D4A-46C2-BCCB-E4B1C6048DD3}"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23E-411A-971A-FFCC3FA8C2F9}"/>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Female</c:v>
              </c:pt>
              <c:pt idx="1">
                <c:v>Male</c:v>
              </c:pt>
              <c:pt idx="2">
                <c:v>Other</c:v>
              </c:pt>
            </c:strLit>
          </c:cat>
          <c:val>
            <c:numLit>
              <c:formatCode>General</c:formatCode>
              <c:ptCount val="3"/>
              <c:pt idx="0">
                <c:v>6091320</c:v>
              </c:pt>
              <c:pt idx="1">
                <c:v>5041142</c:v>
              </c:pt>
              <c:pt idx="2">
                <c:v>1027631</c:v>
              </c:pt>
            </c:numLit>
          </c:val>
          <c:extLst>
            <c:ext xmlns:c16="http://schemas.microsoft.com/office/drawing/2014/chart" uri="{C3380CC4-5D6E-409C-BE32-E72D297353CC}">
              <c16:uniqueId val="{00000000-523E-411A-971A-FFCC3FA8C2F9}"/>
            </c:ext>
          </c:extLst>
        </c:ser>
        <c:dLbls>
          <c:dLblPos val="outEnd"/>
          <c:showLegendKey val="0"/>
          <c:showVal val="1"/>
          <c:showCatName val="0"/>
          <c:showSerName val="0"/>
          <c:showPercent val="0"/>
          <c:showBubbleSize val="0"/>
        </c:dLbls>
        <c:gapWidth val="44"/>
        <c:overlap val="-30"/>
        <c:axId val="40787279"/>
        <c:axId val="40797679"/>
      </c:barChart>
      <c:catAx>
        <c:axId val="40787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40797679"/>
        <c:crosses val="autoZero"/>
        <c:auto val="1"/>
        <c:lblAlgn val="ctr"/>
        <c:lblOffset val="100"/>
        <c:noMultiLvlLbl val="0"/>
      </c:catAx>
      <c:valAx>
        <c:axId val="407976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078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Average Revenue</a:t>
            </a:r>
            <a:r>
              <a:rPr lang="en-US" sz="1400" b="1" baseline="0">
                <a:solidFill>
                  <a:schemeClr val="tx1"/>
                </a:solidFill>
                <a:latin typeface="Times New Roman" panose="02020603050405020304" pitchFamily="18" charset="0"/>
                <a:cs typeface="Times New Roman" panose="02020603050405020304" pitchFamily="18" charset="0"/>
              </a:rPr>
              <a:t> by Payment Type</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6CD2EA"/>
          </a:solidFill>
          <a:ln w="19050">
            <a:solidFill>
              <a:schemeClr val="bg1"/>
            </a:solidFill>
          </a:ln>
          <a:effectLst/>
        </c:spPr>
        <c:dLbl>
          <c:idx val="0"/>
          <c:layout>
            <c:manualLayout>
              <c:x val="8.6581721527691127E-2"/>
              <c:y val="-3.236247604030077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FBA87A-F748-40D8-B3E8-CED30496C61A}"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55F57F"/>
          </a:solidFill>
          <a:ln w="19050">
            <a:solidFill>
              <a:schemeClr val="lt1"/>
            </a:solidFill>
          </a:ln>
          <a:effectLst/>
        </c:spPr>
        <c:dLbl>
          <c:idx val="0"/>
          <c:layout>
            <c:manualLayout>
              <c:x val="8.3352044333030714E-2"/>
              <c:y val="1.941748562418042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A679A3-0852-4E7E-B6B7-8873C5C8E9F9}"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lumMod val="40000"/>
              <a:lumOff val="60000"/>
            </a:schemeClr>
          </a:solidFill>
          <a:ln w="19050">
            <a:solidFill>
              <a:schemeClr val="lt1"/>
            </a:solidFill>
          </a:ln>
          <a:effectLst/>
        </c:spPr>
        <c:dLbl>
          <c:idx val="0"/>
          <c:layout>
            <c:manualLayout>
              <c:x val="-7.9470608425717154E-2"/>
              <c:y val="7.766994249672171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89133B-D9B6-4F77-857C-8FAA67FE3C98}"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FC000"/>
          </a:solidFill>
          <a:ln w="19050">
            <a:solidFill>
              <a:schemeClr val="lt1"/>
            </a:solidFill>
          </a:ln>
          <a:effectLst/>
        </c:spPr>
        <c:dLbl>
          <c:idx val="0"/>
          <c:layout>
            <c:manualLayout>
              <c:x val="-7.0731218402440843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79079A-0DB6-4C08-9EC4-C9F06D6C676D}"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v>Total</c:v>
          </c:tx>
          <c:dPt>
            <c:idx val="0"/>
            <c:bubble3D val="0"/>
            <c:spPr>
              <a:solidFill>
                <a:srgbClr val="6CD2EA"/>
              </a:solidFill>
              <a:ln w="19050">
                <a:solidFill>
                  <a:schemeClr val="bg1"/>
                </a:solidFill>
              </a:ln>
              <a:effectLst/>
            </c:spPr>
            <c:extLst>
              <c:ext xmlns:c16="http://schemas.microsoft.com/office/drawing/2014/chart" uri="{C3380CC4-5D6E-409C-BE32-E72D297353CC}">
                <c16:uniqueId val="{00000001-6FA5-4D78-929D-2EDF15853133}"/>
              </c:ext>
            </c:extLst>
          </c:dPt>
          <c:dPt>
            <c:idx val="1"/>
            <c:bubble3D val="0"/>
            <c:spPr>
              <a:solidFill>
                <a:srgbClr val="55F57F"/>
              </a:solidFill>
              <a:ln w="19050">
                <a:solidFill>
                  <a:schemeClr val="lt1"/>
                </a:solidFill>
              </a:ln>
              <a:effectLst/>
            </c:spPr>
            <c:extLst>
              <c:ext xmlns:c16="http://schemas.microsoft.com/office/drawing/2014/chart" uri="{C3380CC4-5D6E-409C-BE32-E72D297353CC}">
                <c16:uniqueId val="{00000003-6FA5-4D78-929D-2EDF15853133}"/>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6FA5-4D78-929D-2EDF15853133}"/>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6FA5-4D78-929D-2EDF15853133}"/>
              </c:ext>
            </c:extLst>
          </c:dPt>
          <c:dLbls>
            <c:dLbl>
              <c:idx val="0"/>
              <c:layout>
                <c:manualLayout>
                  <c:x val="8.6581721527691127E-2"/>
                  <c:y val="-3.2362476040300771E-2"/>
                </c:manualLayout>
              </c:layout>
              <c:tx>
                <c:rich>
                  <a:bodyPr/>
                  <a:lstStyle/>
                  <a:p>
                    <a:fld id="{2CFBA87A-F748-40D8-B3E8-CED30496C61A}"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FA5-4D78-929D-2EDF15853133}"/>
                </c:ext>
              </c:extLst>
            </c:dLbl>
            <c:dLbl>
              <c:idx val="1"/>
              <c:layout>
                <c:manualLayout>
                  <c:x val="8.3352044333030714E-2"/>
                  <c:y val="1.9417485624180428E-2"/>
                </c:manualLayout>
              </c:layout>
              <c:tx>
                <c:rich>
                  <a:bodyPr/>
                  <a:lstStyle/>
                  <a:p>
                    <a:fld id="{5CA679A3-0852-4E7E-B6B7-8873C5C8E9F9}"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FA5-4D78-929D-2EDF15853133}"/>
                </c:ext>
              </c:extLst>
            </c:dLbl>
            <c:dLbl>
              <c:idx val="2"/>
              <c:layout>
                <c:manualLayout>
                  <c:x val="-7.9470608425717154E-2"/>
                  <c:y val="7.7669942496721711E-2"/>
                </c:manualLayout>
              </c:layout>
              <c:tx>
                <c:rich>
                  <a:bodyPr/>
                  <a:lstStyle/>
                  <a:p>
                    <a:fld id="{D289133B-D9B6-4F77-857C-8FAA67FE3C98}"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FA5-4D78-929D-2EDF15853133}"/>
                </c:ext>
              </c:extLst>
            </c:dLbl>
            <c:dLbl>
              <c:idx val="3"/>
              <c:layout>
                <c:manualLayout>
                  <c:x val="-7.0731218402440843E-2"/>
                  <c:y val="0"/>
                </c:manualLayout>
              </c:layout>
              <c:tx>
                <c:rich>
                  <a:bodyPr/>
                  <a:lstStyle/>
                  <a:p>
                    <a:fld id="{AD79079A-0DB6-4C08-9EC4-C9F06D6C676D}"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FA5-4D78-929D-2EDF15853133}"/>
                </c:ext>
              </c:extLst>
            </c:dLbl>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Cash</c:v>
              </c:pt>
              <c:pt idx="1">
                <c:v>Credit Card</c:v>
              </c:pt>
              <c:pt idx="2">
                <c:v>EMI</c:v>
              </c:pt>
              <c:pt idx="3">
                <c:v>UPI</c:v>
              </c:pt>
            </c:strLit>
          </c:cat>
          <c:val>
            <c:numLit>
              <c:formatCode>General</c:formatCode>
              <c:ptCount val="4"/>
              <c:pt idx="0">
                <c:v>61285</c:v>
              </c:pt>
              <c:pt idx="1">
                <c:v>65201</c:v>
              </c:pt>
              <c:pt idx="2">
                <c:v>62198</c:v>
              </c:pt>
              <c:pt idx="3">
                <c:v>50779</c:v>
              </c:pt>
            </c:numLit>
          </c:val>
          <c:extLst>
            <c:ext xmlns:c16="http://schemas.microsoft.com/office/drawing/2014/chart" uri="{C3380CC4-5D6E-409C-BE32-E72D297353CC}">
              <c16:uniqueId val="{00000008-6FA5-4D78-929D-2EDF15853133}"/>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3649709983744482"/>
          <c:y val="0.37245744334400699"/>
          <c:w val="0.21235199128742943"/>
          <c:h val="0.41754423338900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Georgia" panose="02040502050405020303" pitchFamily="18" charset="0"/>
              </a:rPr>
              <a:t>Revenue</a:t>
            </a:r>
            <a:r>
              <a:rPr lang="en-US" b="1" baseline="0">
                <a:solidFill>
                  <a:sysClr val="windowText" lastClr="000000"/>
                </a:solidFill>
                <a:latin typeface="Georgia" panose="02040502050405020303" pitchFamily="18" charset="0"/>
              </a:rPr>
              <a:t> by Country</a:t>
            </a:r>
            <a:endParaRPr lang="en-US" b="1">
              <a:solidFill>
                <a:sysClr val="windowText" lastClr="000000"/>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DA88"/>
          </a:solidFill>
          <a:ln>
            <a:noFill/>
          </a:ln>
          <a:effectLst/>
        </c:spPr>
        <c:dLbl>
          <c:idx val="0"/>
          <c:layout>
            <c:manualLayout>
              <c:x val="7.7519379844961239E-3"/>
              <c:y val="-3.2840722495894911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8DA88"/>
          </a:solidFill>
          <a:ln>
            <a:noFill/>
          </a:ln>
          <a:effectLst/>
        </c:spPr>
        <c:dLbl>
          <c:idx val="0"/>
          <c:layout>
            <c:manualLayout>
              <c:x val="1.1627906976744186E-2"/>
              <c:y val="-0.2561576354679803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8DA88"/>
          </a:solidFill>
          <a:ln>
            <a:noFill/>
          </a:ln>
          <a:effectLst/>
        </c:spPr>
        <c:dLbl>
          <c:idx val="0"/>
          <c:layout>
            <c:manualLayout>
              <c:x val="0"/>
              <c:y val="-8.5385878489326772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8DA88"/>
          </a:solidFill>
          <a:ln>
            <a:noFill/>
          </a:ln>
          <a:effectLst/>
        </c:spPr>
        <c:dLbl>
          <c:idx val="0"/>
          <c:layout>
            <c:manualLayout>
              <c:x val="0"/>
              <c:y val="-5.2545155993431854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rgbClr val="78DA88"/>
            </a:solidFill>
            <a:ln>
              <a:noFill/>
            </a:ln>
            <a:effectLst/>
          </c:spPr>
          <c:dPt>
            <c:idx val="0"/>
            <c:bubble3D val="0"/>
            <c:extLst>
              <c:ext xmlns:c16="http://schemas.microsoft.com/office/drawing/2014/chart" uri="{C3380CC4-5D6E-409C-BE32-E72D297353CC}">
                <c16:uniqueId val="{00000005-676B-48A7-B150-BEE32CCA875C}"/>
              </c:ext>
            </c:extLst>
          </c:dPt>
          <c:dPt>
            <c:idx val="1"/>
            <c:bubble3D val="0"/>
            <c:extLst>
              <c:ext xmlns:c16="http://schemas.microsoft.com/office/drawing/2014/chart" uri="{C3380CC4-5D6E-409C-BE32-E72D297353CC}">
                <c16:uniqueId val="{00000003-676B-48A7-B150-BEE32CCA875C}"/>
              </c:ext>
            </c:extLst>
          </c:dPt>
          <c:dPt>
            <c:idx val="2"/>
            <c:bubble3D val="0"/>
            <c:extLst>
              <c:ext xmlns:c16="http://schemas.microsoft.com/office/drawing/2014/chart" uri="{C3380CC4-5D6E-409C-BE32-E72D297353CC}">
                <c16:uniqueId val="{00000002-676B-48A7-B150-BEE32CCA875C}"/>
              </c:ext>
            </c:extLst>
          </c:dPt>
          <c:dPt>
            <c:idx val="3"/>
            <c:bubble3D val="0"/>
            <c:extLst>
              <c:ext xmlns:c16="http://schemas.microsoft.com/office/drawing/2014/chart" uri="{C3380CC4-5D6E-409C-BE32-E72D297353CC}">
                <c16:uniqueId val="{00000004-676B-48A7-B150-BEE32CCA875C}"/>
              </c:ext>
            </c:extLst>
          </c:dPt>
          <c:dLbls>
            <c:dLbl>
              <c:idx val="0"/>
              <c:layout>
                <c:manualLayout>
                  <c:x val="0"/>
                  <c:y val="-5.2545155993431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6B-48A7-B150-BEE32CCA875C}"/>
                </c:ext>
              </c:extLst>
            </c:dLbl>
            <c:dLbl>
              <c:idx val="1"/>
              <c:layout>
                <c:manualLayout>
                  <c:x val="1.1627906976744186E-2"/>
                  <c:y val="-0.25615763546798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6B-48A7-B150-BEE32CCA875C}"/>
                </c:ext>
              </c:extLst>
            </c:dLbl>
            <c:dLbl>
              <c:idx val="2"/>
              <c:layout>
                <c:manualLayout>
                  <c:x val="7.7519379844961239E-3"/>
                  <c:y val="-3.2840722495894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6B-48A7-B150-BEE32CCA875C}"/>
                </c:ext>
              </c:extLst>
            </c:dLbl>
            <c:dLbl>
              <c:idx val="3"/>
              <c:layout>
                <c:manualLayout>
                  <c:x val="0"/>
                  <c:y val="-8.5385878489326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6B-48A7-B150-BEE32CCA875C}"/>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Bangladesh</c:v>
              </c:pt>
              <c:pt idx="1">
                <c:v>India</c:v>
              </c:pt>
              <c:pt idx="2">
                <c:v>Pakistan</c:v>
              </c:pt>
              <c:pt idx="3">
                <c:v>Turkey</c:v>
              </c:pt>
            </c:strLit>
          </c:cat>
          <c:val>
            <c:numLit>
              <c:formatCode>General</c:formatCode>
              <c:ptCount val="4"/>
              <c:pt idx="0">
                <c:v>1592163</c:v>
              </c:pt>
              <c:pt idx="1">
                <c:v>5966832</c:v>
              </c:pt>
              <c:pt idx="2">
                <c:v>288937</c:v>
              </c:pt>
              <c:pt idx="3">
                <c:v>4312161</c:v>
              </c:pt>
            </c:numLit>
          </c:val>
          <c:extLst>
            <c:ext xmlns:c16="http://schemas.microsoft.com/office/drawing/2014/chart" uri="{C3380CC4-5D6E-409C-BE32-E72D297353CC}">
              <c16:uniqueId val="{00000000-676B-48A7-B150-BEE32CCA875C}"/>
            </c:ext>
          </c:extLst>
        </c:ser>
        <c:dLbls>
          <c:showLegendKey val="0"/>
          <c:showVal val="1"/>
          <c:showCatName val="0"/>
          <c:showSerName val="0"/>
          <c:showPercent val="0"/>
          <c:showBubbleSize val="0"/>
        </c:dLbls>
        <c:axId val="1304963088"/>
        <c:axId val="1304942288"/>
      </c:areaChart>
      <c:catAx>
        <c:axId val="130496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eorgia" panose="02040502050405020303" pitchFamily="18" charset="0"/>
                <a:ea typeface="+mn-ea"/>
                <a:cs typeface="+mn-cs"/>
              </a:defRPr>
            </a:pPr>
            <a:endParaRPr lang="en-US"/>
          </a:p>
        </c:txPr>
        <c:crossAx val="1304942288"/>
        <c:crosses val="autoZero"/>
        <c:auto val="1"/>
        <c:lblAlgn val="ctr"/>
        <c:lblOffset val="100"/>
        <c:noMultiLvlLbl val="0"/>
      </c:catAx>
      <c:valAx>
        <c:axId val="13049422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04963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microsoft.com/office/2007/relationships/hdphoto" Target="../media/hdphoto1.wdp"/><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4.PNG"/><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1.PNG"/><Relationship Id="rId7" Type="http://schemas.openxmlformats.org/officeDocument/2006/relationships/image" Target="../media/image4.PNG"/><Relationship Id="rId12"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3.png"/><Relationship Id="rId11" Type="http://schemas.openxmlformats.org/officeDocument/2006/relationships/chart" Target="../charts/chart12.xml"/><Relationship Id="rId5" Type="http://schemas.microsoft.com/office/2007/relationships/hdphoto" Target="../media/hdphoto1.wdp"/><Relationship Id="rId10" Type="http://schemas.openxmlformats.org/officeDocument/2006/relationships/chart" Target="../charts/chart11.xml"/><Relationship Id="rId4" Type="http://schemas.openxmlformats.org/officeDocument/2006/relationships/image" Target="../media/image2.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752475</xdr:colOff>
      <xdr:row>27</xdr:row>
      <xdr:rowOff>200025</xdr:rowOff>
    </xdr:to>
    <xdr:grpSp>
      <xdr:nvGrpSpPr>
        <xdr:cNvPr id="2" name="Group 1">
          <a:extLst>
            <a:ext uri="{FF2B5EF4-FFF2-40B4-BE49-F238E27FC236}">
              <a16:creationId xmlns:a16="http://schemas.microsoft.com/office/drawing/2014/main" id="{16395785-3089-4D64-B783-C1F1F6AAAA3E}"/>
            </a:ext>
          </a:extLst>
        </xdr:cNvPr>
        <xdr:cNvGrpSpPr/>
      </xdr:nvGrpSpPr>
      <xdr:grpSpPr>
        <a:xfrm>
          <a:off x="0" y="0"/>
          <a:ext cx="12639675" cy="6372225"/>
          <a:chOff x="0" y="0"/>
          <a:chExt cx="12639675" cy="6372225"/>
        </a:xfrm>
      </xdr:grpSpPr>
      <xdr:sp macro="" textlink="">
        <xdr:nvSpPr>
          <xdr:cNvPr id="3" name="Rectangle 2">
            <a:extLst>
              <a:ext uri="{FF2B5EF4-FFF2-40B4-BE49-F238E27FC236}">
                <a16:creationId xmlns:a16="http://schemas.microsoft.com/office/drawing/2014/main" id="{8CE52FA4-F314-4416-8810-601675B0BF90}"/>
              </a:ext>
            </a:extLst>
          </xdr:cNvPr>
          <xdr:cNvSpPr/>
        </xdr:nvSpPr>
        <xdr:spPr>
          <a:xfrm>
            <a:off x="0" y="0"/>
            <a:ext cx="12639675" cy="6372225"/>
          </a:xfrm>
          <a:prstGeom prst="rect">
            <a:avLst/>
          </a:prstGeom>
          <a:solidFill>
            <a:srgbClr val="C5FBD3"/>
          </a:solidFill>
          <a:ln>
            <a:solidFill>
              <a:schemeClr val="tx1">
                <a:lumMod val="95000"/>
                <a:lumOff val="5000"/>
              </a:schemeClr>
            </a:solidFill>
            <a:prstDash val="sysDot"/>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$12,160,093</a:t>
            </a:r>
          </a:p>
        </xdr:txBody>
      </xdr:sp>
      <xdr:sp macro="" textlink="">
        <xdr:nvSpPr>
          <xdr:cNvPr id="4" name="Rectangle: Rounded Corners 3">
            <a:extLst>
              <a:ext uri="{FF2B5EF4-FFF2-40B4-BE49-F238E27FC236}">
                <a16:creationId xmlns:a16="http://schemas.microsoft.com/office/drawing/2014/main" id="{32D101E8-E04B-456C-AFBB-C33490160C7D}"/>
              </a:ext>
            </a:extLst>
          </xdr:cNvPr>
          <xdr:cNvSpPr/>
        </xdr:nvSpPr>
        <xdr:spPr>
          <a:xfrm>
            <a:off x="66675" y="38100"/>
            <a:ext cx="10429876" cy="609600"/>
          </a:xfrm>
          <a:prstGeom prst="roundRect">
            <a:avLst/>
          </a:prstGeom>
          <a:solidFill>
            <a:srgbClr val="88F8A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EB45290A-E5EF-4108-8C40-DB82CD7DC6E2}"/>
              </a:ext>
            </a:extLst>
          </xdr:cNvPr>
          <xdr:cNvSpPr/>
        </xdr:nvSpPr>
        <xdr:spPr>
          <a:xfrm>
            <a:off x="38100" y="695325"/>
            <a:ext cx="2066926"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2BEE099-440D-4AAE-AA75-1861AA9B52BC}"/>
              </a:ext>
            </a:extLst>
          </xdr:cNvPr>
          <xdr:cNvSpPr/>
        </xdr:nvSpPr>
        <xdr:spPr>
          <a:xfrm>
            <a:off x="2200276" y="695325"/>
            <a:ext cx="1990724"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D0B44A8-29EC-47E5-8BA3-780BF9726053}"/>
              </a:ext>
            </a:extLst>
          </xdr:cNvPr>
          <xdr:cNvSpPr/>
        </xdr:nvSpPr>
        <xdr:spPr>
          <a:xfrm>
            <a:off x="4305300" y="685800"/>
            <a:ext cx="2009747"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D4D6687E-AA04-4C27-9C8F-B8BA545CB76A}"/>
              </a:ext>
            </a:extLst>
          </xdr:cNvPr>
          <xdr:cNvSpPr/>
        </xdr:nvSpPr>
        <xdr:spPr>
          <a:xfrm>
            <a:off x="6400800" y="704850"/>
            <a:ext cx="2057400"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 name="Picture 12">
            <a:extLst>
              <a:ext uri="{FF2B5EF4-FFF2-40B4-BE49-F238E27FC236}">
                <a16:creationId xmlns:a16="http://schemas.microsoft.com/office/drawing/2014/main" id="{52033D01-0166-4CF3-B86D-7F2710700DF4}"/>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57150" y="723900"/>
            <a:ext cx="657711" cy="600075"/>
          </a:xfrm>
          <a:prstGeom prst="rect">
            <a:avLst/>
          </a:prstGeom>
        </xdr:spPr>
      </xdr:pic>
      <xdr:pic>
        <xdr:nvPicPr>
          <xdr:cNvPr id="14" name="Picture 13">
            <a:extLst>
              <a:ext uri="{FF2B5EF4-FFF2-40B4-BE49-F238E27FC236}">
                <a16:creationId xmlns:a16="http://schemas.microsoft.com/office/drawing/2014/main" id="{160CAA79-2EC5-41F9-985F-A6607C0035B4}"/>
              </a:ext>
            </a:extLst>
          </xdr:cNvPr>
          <xdr:cNvPicPr>
            <a:picLocks noChangeAspect="1"/>
          </xdr:cNvPicPr>
        </xdr:nvPicPr>
        <xdr:blipFill>
          <a:blip xmlns:r="http://schemas.openxmlformats.org/officeDocument/2006/relationships" r:embed="rId2" cstate="print">
            <a:duotone>
              <a:prstClr val="black"/>
              <a:schemeClr val="accent6">
                <a:tint val="45000"/>
                <a:satMod val="400000"/>
              </a:schemeClr>
            </a:duotone>
            <a:alphaModFix/>
            <a:extLst>
              <a:ext uri="{BEBA8EAE-BF5A-486C-A8C5-ECC9F3942E4B}">
                <a14:imgProps xmlns:a14="http://schemas.microsoft.com/office/drawing/2010/main">
                  <a14:imgLayer r:embed="rId3">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238374" y="723900"/>
            <a:ext cx="561975" cy="600075"/>
          </a:xfrm>
          <a:prstGeom prst="rect">
            <a:avLst/>
          </a:prstGeom>
        </xdr:spPr>
      </xdr:pic>
      <xdr:pic>
        <xdr:nvPicPr>
          <xdr:cNvPr id="15" name="Picture 14">
            <a:extLst>
              <a:ext uri="{FF2B5EF4-FFF2-40B4-BE49-F238E27FC236}">
                <a16:creationId xmlns:a16="http://schemas.microsoft.com/office/drawing/2014/main" id="{48528D0E-D590-4969-979B-B8BF22550D6E}"/>
              </a:ext>
            </a:extLst>
          </xdr:cNvPr>
          <xdr:cNvPicPr>
            <a:picLocks noChangeAspect="1"/>
          </xdr:cNvPicPr>
        </xdr:nvPicPr>
        <xdr:blipFill>
          <a:blip xmlns:r="http://schemas.openxmlformats.org/officeDocument/2006/relationships" r:embed="rId4"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4343400" y="723899"/>
            <a:ext cx="629115" cy="581025"/>
          </a:xfrm>
          <a:prstGeom prst="rect">
            <a:avLst/>
          </a:prstGeom>
        </xdr:spPr>
      </xdr:pic>
      <xdr:pic>
        <xdr:nvPicPr>
          <xdr:cNvPr id="16" name="Picture 15">
            <a:extLst>
              <a:ext uri="{FF2B5EF4-FFF2-40B4-BE49-F238E27FC236}">
                <a16:creationId xmlns:a16="http://schemas.microsoft.com/office/drawing/2014/main" id="{EB9817B0-ABC6-49FD-A373-A2B9B9C56DB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429375" y="723901"/>
            <a:ext cx="595462" cy="609600"/>
          </a:xfrm>
          <a:prstGeom prst="rect">
            <a:avLst/>
          </a:prstGeom>
        </xdr:spPr>
      </xdr:pic>
      <xdr:sp macro="" textlink="'Pivot Table'!A5">
        <xdr:nvSpPr>
          <xdr:cNvPr id="17" name="TextBox 16">
            <a:extLst>
              <a:ext uri="{FF2B5EF4-FFF2-40B4-BE49-F238E27FC236}">
                <a16:creationId xmlns:a16="http://schemas.microsoft.com/office/drawing/2014/main" id="{2ACE5274-CE99-4D04-98C5-79208EAFD818}"/>
              </a:ext>
            </a:extLst>
          </xdr:cNvPr>
          <xdr:cNvSpPr txBox="1"/>
        </xdr:nvSpPr>
        <xdr:spPr>
          <a:xfrm>
            <a:off x="723900" y="733426"/>
            <a:ext cx="1333499"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735ACD-8E02-483B-9305-DD8F349216DF}" type="TxLink">
              <a:rPr lang="en-US" sz="1600" b="1" i="0" u="none" strike="noStrike">
                <a:solidFill>
                  <a:srgbClr val="000000"/>
                </a:solidFill>
                <a:latin typeface="Times New Roman"/>
                <a:cs typeface="Times New Roman"/>
              </a:rPr>
              <a:pPr/>
              <a:t>$12,160,093</a:t>
            </a:fld>
            <a:endParaRPr lang="en-US" sz="1600" b="1"/>
          </a:p>
        </xdr:txBody>
      </xdr:sp>
      <xdr:sp macro="" textlink="">
        <xdr:nvSpPr>
          <xdr:cNvPr id="18" name="TextBox 17">
            <a:extLst>
              <a:ext uri="{FF2B5EF4-FFF2-40B4-BE49-F238E27FC236}">
                <a16:creationId xmlns:a16="http://schemas.microsoft.com/office/drawing/2014/main" id="{3EA17FB1-9FDA-41B8-8DB7-3B79B3DC542F}"/>
              </a:ext>
            </a:extLst>
          </xdr:cNvPr>
          <xdr:cNvSpPr txBox="1"/>
        </xdr:nvSpPr>
        <xdr:spPr>
          <a:xfrm>
            <a:off x="752475" y="1057275"/>
            <a:ext cx="1219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Georgia" panose="02040502050405020303" pitchFamily="18" charset="0"/>
              </a:rPr>
              <a:t>Total Revenue</a:t>
            </a:r>
          </a:p>
        </xdr:txBody>
      </xdr:sp>
      <xdr:sp macro="" textlink="">
        <xdr:nvSpPr>
          <xdr:cNvPr id="19" name="TextBox 18">
            <a:extLst>
              <a:ext uri="{FF2B5EF4-FFF2-40B4-BE49-F238E27FC236}">
                <a16:creationId xmlns:a16="http://schemas.microsoft.com/office/drawing/2014/main" id="{C86F21D2-0AA5-4D14-85CF-F5940177CC71}"/>
              </a:ext>
            </a:extLst>
          </xdr:cNvPr>
          <xdr:cNvSpPr txBox="1"/>
        </xdr:nvSpPr>
        <xdr:spPr>
          <a:xfrm>
            <a:off x="1495425" y="76199"/>
            <a:ext cx="7467600"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Georgia" panose="02040502050405020303" pitchFamily="18" charset="0"/>
              </a:rPr>
              <a:t>SALES</a:t>
            </a:r>
            <a:r>
              <a:rPr lang="en-US" sz="2800" baseline="0">
                <a:latin typeface="Georgia" panose="02040502050405020303" pitchFamily="18" charset="0"/>
              </a:rPr>
              <a:t> PERFORMANCE DASHBOARD</a:t>
            </a:r>
            <a:endParaRPr lang="en-US" sz="2800">
              <a:latin typeface="Georgia" panose="02040502050405020303" pitchFamily="18" charset="0"/>
            </a:endParaRPr>
          </a:p>
        </xdr:txBody>
      </xdr:sp>
      <xdr:sp macro="" textlink="'Pivot Table'!C5">
        <xdr:nvSpPr>
          <xdr:cNvPr id="20" name="TextBox 19">
            <a:extLst>
              <a:ext uri="{FF2B5EF4-FFF2-40B4-BE49-F238E27FC236}">
                <a16:creationId xmlns:a16="http://schemas.microsoft.com/office/drawing/2014/main" id="{A365F527-E29B-44AF-B349-A2A473B48554}"/>
              </a:ext>
            </a:extLst>
          </xdr:cNvPr>
          <xdr:cNvSpPr txBox="1"/>
        </xdr:nvSpPr>
        <xdr:spPr>
          <a:xfrm>
            <a:off x="2847976" y="742951"/>
            <a:ext cx="1104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628700-9D72-4385-8BBF-FEDE63338C3A}" type="TxLink">
              <a:rPr lang="en-US" sz="1600" b="1" i="0" u="none" strike="noStrike">
                <a:solidFill>
                  <a:srgbClr val="000000"/>
                </a:solidFill>
                <a:latin typeface="Times New Roman"/>
                <a:cs typeface="Times New Roman"/>
              </a:rPr>
              <a:pPr algn="ctr"/>
              <a:t>15,386</a:t>
            </a:fld>
            <a:endParaRPr lang="en-US" sz="1600" b="1"/>
          </a:p>
        </xdr:txBody>
      </xdr:sp>
      <xdr:sp macro="" textlink="">
        <xdr:nvSpPr>
          <xdr:cNvPr id="22" name="TextBox 21">
            <a:extLst>
              <a:ext uri="{FF2B5EF4-FFF2-40B4-BE49-F238E27FC236}">
                <a16:creationId xmlns:a16="http://schemas.microsoft.com/office/drawing/2014/main" id="{8EE594E7-A3DA-47FC-BC97-36DAFBBD39C8}"/>
              </a:ext>
            </a:extLst>
          </xdr:cNvPr>
          <xdr:cNvSpPr txBox="1"/>
        </xdr:nvSpPr>
        <xdr:spPr>
          <a:xfrm>
            <a:off x="2838450" y="1047750"/>
            <a:ext cx="115252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Units</a:t>
            </a:r>
            <a:r>
              <a:rPr lang="en-US" sz="1100" b="1" baseline="0">
                <a:latin typeface="Georgia" panose="02040502050405020303" pitchFamily="18" charset="0"/>
              </a:rPr>
              <a:t> Sold</a:t>
            </a:r>
            <a:endParaRPr lang="en-US" sz="1100" b="1">
              <a:latin typeface="Georgia" panose="02040502050405020303" pitchFamily="18" charset="0"/>
            </a:endParaRPr>
          </a:p>
        </xdr:txBody>
      </xdr:sp>
      <xdr:sp macro="" textlink="'Pivot Table'!E5">
        <xdr:nvSpPr>
          <xdr:cNvPr id="23" name="TextBox 22">
            <a:extLst>
              <a:ext uri="{FF2B5EF4-FFF2-40B4-BE49-F238E27FC236}">
                <a16:creationId xmlns:a16="http://schemas.microsoft.com/office/drawing/2014/main" id="{63FFE9B3-4B9D-4054-BC21-926BE1962510}"/>
              </a:ext>
            </a:extLst>
          </xdr:cNvPr>
          <xdr:cNvSpPr txBox="1"/>
        </xdr:nvSpPr>
        <xdr:spPr>
          <a:xfrm>
            <a:off x="5057775" y="762000"/>
            <a:ext cx="11144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F14853-0F73-44FD-9CFF-FB8B0BF87527}" type="TxLink">
              <a:rPr lang="en-US" sz="1600" b="1" i="0" u="none" strike="noStrike">
                <a:solidFill>
                  <a:srgbClr val="000000"/>
                </a:solidFill>
                <a:latin typeface="Times New Roman"/>
                <a:cs typeface="Times New Roman"/>
              </a:rPr>
              <a:pPr algn="ctr"/>
              <a:t>5</a:t>
            </a:fld>
            <a:endParaRPr lang="en-US" sz="1600" b="1"/>
          </a:p>
        </xdr:txBody>
      </xdr:sp>
      <xdr:sp macro="" textlink="">
        <xdr:nvSpPr>
          <xdr:cNvPr id="24" name="TextBox 23">
            <a:extLst>
              <a:ext uri="{FF2B5EF4-FFF2-40B4-BE49-F238E27FC236}">
                <a16:creationId xmlns:a16="http://schemas.microsoft.com/office/drawing/2014/main" id="{7951B770-D001-4A14-A26A-0DF7D008905A}"/>
              </a:ext>
            </a:extLst>
          </xdr:cNvPr>
          <xdr:cNvSpPr txBox="1"/>
        </xdr:nvSpPr>
        <xdr:spPr>
          <a:xfrm>
            <a:off x="5029200" y="1047750"/>
            <a:ext cx="1171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Total</a:t>
            </a:r>
            <a:r>
              <a:rPr lang="en-US" sz="1100" b="1" baseline="0">
                <a:latin typeface="Georgia" panose="02040502050405020303" pitchFamily="18" charset="0"/>
              </a:rPr>
              <a:t> Brand</a:t>
            </a:r>
            <a:endParaRPr lang="en-US" sz="1100" b="1">
              <a:latin typeface="Georgia" panose="02040502050405020303" pitchFamily="18" charset="0"/>
            </a:endParaRPr>
          </a:p>
        </xdr:txBody>
      </xdr:sp>
      <xdr:sp macro="" textlink="'Pivot Table'!H5">
        <xdr:nvSpPr>
          <xdr:cNvPr id="25" name="TextBox 24">
            <a:extLst>
              <a:ext uri="{FF2B5EF4-FFF2-40B4-BE49-F238E27FC236}">
                <a16:creationId xmlns:a16="http://schemas.microsoft.com/office/drawing/2014/main" id="{69B4A2FE-1B1C-4BE1-A336-546DD4C8FD6D}"/>
              </a:ext>
            </a:extLst>
          </xdr:cNvPr>
          <xdr:cNvSpPr txBox="1"/>
        </xdr:nvSpPr>
        <xdr:spPr>
          <a:xfrm>
            <a:off x="7058025" y="742951"/>
            <a:ext cx="1200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D75743-1D2D-43D5-A29B-629A620F473D}" type="TxLink">
              <a:rPr lang="en-US" sz="1600" b="1" i="0" u="none" strike="noStrike">
                <a:solidFill>
                  <a:srgbClr val="000000"/>
                </a:solidFill>
                <a:latin typeface="Times New Roman"/>
                <a:cs typeface="Times New Roman"/>
              </a:rPr>
              <a:pPr algn="ctr"/>
              <a:t>$239,463</a:t>
            </a:fld>
            <a:endParaRPr lang="en-US" sz="1600" b="1"/>
          </a:p>
        </xdr:txBody>
      </xdr:sp>
      <xdr:sp macro="" textlink="">
        <xdr:nvSpPr>
          <xdr:cNvPr id="26" name="TextBox 25">
            <a:extLst>
              <a:ext uri="{FF2B5EF4-FFF2-40B4-BE49-F238E27FC236}">
                <a16:creationId xmlns:a16="http://schemas.microsoft.com/office/drawing/2014/main" id="{459FEDD4-DF67-4246-9154-F5CFFCC983E0}"/>
              </a:ext>
            </a:extLst>
          </xdr:cNvPr>
          <xdr:cNvSpPr txBox="1"/>
        </xdr:nvSpPr>
        <xdr:spPr>
          <a:xfrm>
            <a:off x="7000876" y="1057275"/>
            <a:ext cx="14287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Georgia" panose="02040502050405020303" pitchFamily="18" charset="0"/>
              </a:rPr>
              <a:t>Average Revenue</a:t>
            </a:r>
          </a:p>
        </xdr:txBody>
      </xdr:sp>
      <xdr:sp macro="" textlink="">
        <xdr:nvSpPr>
          <xdr:cNvPr id="27" name="Rectangle: Rounded Corners 26">
            <a:extLst>
              <a:ext uri="{FF2B5EF4-FFF2-40B4-BE49-F238E27FC236}">
                <a16:creationId xmlns:a16="http://schemas.microsoft.com/office/drawing/2014/main" id="{D194B7ED-30D7-4E63-8C3D-E66141E659DE}"/>
              </a:ext>
            </a:extLst>
          </xdr:cNvPr>
          <xdr:cNvSpPr/>
        </xdr:nvSpPr>
        <xdr:spPr>
          <a:xfrm>
            <a:off x="57150" y="1438275"/>
            <a:ext cx="3419475"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33AA5A3D-403B-43AE-A864-49FB41CC06C8}"/>
              </a:ext>
            </a:extLst>
          </xdr:cNvPr>
          <xdr:cNvSpPr/>
        </xdr:nvSpPr>
        <xdr:spPr>
          <a:xfrm>
            <a:off x="7524750" y="1476375"/>
            <a:ext cx="3333749"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Rounded Corners 29">
            <a:extLst>
              <a:ext uri="{FF2B5EF4-FFF2-40B4-BE49-F238E27FC236}">
                <a16:creationId xmlns:a16="http://schemas.microsoft.com/office/drawing/2014/main" id="{4AE88D19-51FF-4A84-9C4A-381E515794E5}"/>
              </a:ext>
            </a:extLst>
          </xdr:cNvPr>
          <xdr:cNvSpPr/>
        </xdr:nvSpPr>
        <xdr:spPr>
          <a:xfrm>
            <a:off x="47625" y="3648075"/>
            <a:ext cx="3371850"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Rounded Corners 31">
            <a:extLst>
              <a:ext uri="{FF2B5EF4-FFF2-40B4-BE49-F238E27FC236}">
                <a16:creationId xmlns:a16="http://schemas.microsoft.com/office/drawing/2014/main" id="{3FD84543-DA23-4774-931B-C813DC6691AF}"/>
              </a:ext>
            </a:extLst>
          </xdr:cNvPr>
          <xdr:cNvSpPr/>
        </xdr:nvSpPr>
        <xdr:spPr>
          <a:xfrm>
            <a:off x="7543800" y="3695700"/>
            <a:ext cx="3362325" cy="2057400"/>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05896913-130B-44F2-ABEE-EB9527A44C30}"/>
              </a:ext>
            </a:extLst>
          </xdr:cNvPr>
          <xdr:cNvGraphicFramePr>
            <a:graphicFrameLocks/>
          </xdr:cNvGraphicFramePr>
        </xdr:nvGraphicFramePr>
        <xdr:xfrm>
          <a:off x="95251" y="1533525"/>
          <a:ext cx="3276600" cy="199072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5" name="Rectangle: Rounded Corners 34">
            <a:extLst>
              <a:ext uri="{FF2B5EF4-FFF2-40B4-BE49-F238E27FC236}">
                <a16:creationId xmlns:a16="http://schemas.microsoft.com/office/drawing/2014/main" id="{9BA10DF0-E380-414D-963A-40B8735BB66E}"/>
              </a:ext>
            </a:extLst>
          </xdr:cNvPr>
          <xdr:cNvSpPr/>
        </xdr:nvSpPr>
        <xdr:spPr>
          <a:xfrm>
            <a:off x="3571876" y="1485900"/>
            <a:ext cx="3857624" cy="20669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4" name="Chart 33">
            <a:extLst>
              <a:ext uri="{FF2B5EF4-FFF2-40B4-BE49-F238E27FC236}">
                <a16:creationId xmlns:a16="http://schemas.microsoft.com/office/drawing/2014/main" id="{98973E6F-88B1-4EBD-BD10-617FD283ADEF}"/>
              </a:ext>
            </a:extLst>
          </xdr:cNvPr>
          <xdr:cNvGraphicFramePr>
            <a:graphicFrameLocks/>
          </xdr:cNvGraphicFramePr>
        </xdr:nvGraphicFramePr>
        <xdr:xfrm>
          <a:off x="3648075" y="1571625"/>
          <a:ext cx="3695700" cy="19050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6" name="Rectangle: Rounded Corners 35">
            <a:extLst>
              <a:ext uri="{FF2B5EF4-FFF2-40B4-BE49-F238E27FC236}">
                <a16:creationId xmlns:a16="http://schemas.microsoft.com/office/drawing/2014/main" id="{AD7554C9-05F6-4626-BCE8-A869DAF941A0}"/>
              </a:ext>
            </a:extLst>
          </xdr:cNvPr>
          <xdr:cNvSpPr/>
        </xdr:nvSpPr>
        <xdr:spPr>
          <a:xfrm>
            <a:off x="3533776" y="3686175"/>
            <a:ext cx="3905250" cy="20669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EA947066-A335-4FB8-93FA-61B54493C5EC}"/>
              </a:ext>
            </a:extLst>
          </xdr:cNvPr>
          <xdr:cNvGraphicFramePr>
            <a:graphicFrameLocks/>
          </xdr:cNvGraphicFramePr>
        </xdr:nvGraphicFramePr>
        <xdr:xfrm>
          <a:off x="7591426" y="1543051"/>
          <a:ext cx="3171824" cy="19431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8" name="Chart 37">
            <a:extLst>
              <a:ext uri="{FF2B5EF4-FFF2-40B4-BE49-F238E27FC236}">
                <a16:creationId xmlns:a16="http://schemas.microsoft.com/office/drawing/2014/main" id="{1933BD7B-EB74-42F6-A545-97AA73EEAD8F}"/>
              </a:ext>
            </a:extLst>
          </xdr:cNvPr>
          <xdr:cNvGraphicFramePr>
            <a:graphicFrameLocks/>
          </xdr:cNvGraphicFramePr>
        </xdr:nvGraphicFramePr>
        <xdr:xfrm>
          <a:off x="123826" y="3781425"/>
          <a:ext cx="3228974" cy="1905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0" name="Chart 39">
            <a:extLst>
              <a:ext uri="{FF2B5EF4-FFF2-40B4-BE49-F238E27FC236}">
                <a16:creationId xmlns:a16="http://schemas.microsoft.com/office/drawing/2014/main" id="{D11FDC9E-2B62-40EF-8616-AB29787E89FB}"/>
              </a:ext>
            </a:extLst>
          </xdr:cNvPr>
          <xdr:cNvGraphicFramePr>
            <a:graphicFrameLocks/>
          </xdr:cNvGraphicFramePr>
        </xdr:nvGraphicFramePr>
        <xdr:xfrm>
          <a:off x="3600450" y="3809999"/>
          <a:ext cx="3762375" cy="193357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1" name="Chart 40">
            <a:extLst>
              <a:ext uri="{FF2B5EF4-FFF2-40B4-BE49-F238E27FC236}">
                <a16:creationId xmlns:a16="http://schemas.microsoft.com/office/drawing/2014/main" id="{BAFFC11F-296A-46D8-8A5D-466BFE6C446A}"/>
              </a:ext>
            </a:extLst>
          </xdr:cNvPr>
          <xdr:cNvGraphicFramePr>
            <a:graphicFrameLocks/>
          </xdr:cNvGraphicFramePr>
        </xdr:nvGraphicFramePr>
        <xdr:xfrm>
          <a:off x="7639050" y="3762375"/>
          <a:ext cx="3181349" cy="192405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xmlns:a14="http://schemas.microsoft.com/office/drawing/2010/main">
        <mc:Choice Requires="a14">
          <xdr:graphicFrame macro="">
            <xdr:nvGraphicFramePr>
              <xdr:cNvPr id="42" name="Operating_System 1">
                <a:extLst>
                  <a:ext uri="{FF2B5EF4-FFF2-40B4-BE49-F238E27FC236}">
                    <a16:creationId xmlns:a16="http://schemas.microsoft.com/office/drawing/2014/main" id="{219676BC-148B-45C7-BD5E-56CB3F5A140E}"/>
                  </a:ext>
                </a:extLst>
              </xdr:cNvPr>
              <xdr:cNvGraphicFramePr/>
            </xdr:nvGraphicFramePr>
            <xdr:xfrm>
              <a:off x="8543924" y="695325"/>
              <a:ext cx="1952625" cy="676276"/>
            </xdr:xfrm>
            <a:graphic>
              <a:graphicData uri="http://schemas.microsoft.com/office/drawing/2010/slicer">
                <sle:slicer xmlns:sle="http://schemas.microsoft.com/office/drawing/2010/slicer" name="Operating_System 1"/>
              </a:graphicData>
            </a:graphic>
          </xdr:graphicFrame>
        </mc:Choice>
        <mc:Fallback xmlns="">
          <xdr:sp macro="" textlink="">
            <xdr:nvSpPr>
              <xdr:cNvPr id="0" name=""/>
              <xdr:cNvSpPr>
                <a:spLocks noTextEdit="1"/>
              </xdr:cNvSpPr>
            </xdr:nvSpPr>
            <xdr:spPr>
              <a:xfrm>
                <a:off x="8543924" y="695325"/>
                <a:ext cx="1952625" cy="676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39" name="Transaction_Date 1">
                <a:extLst>
                  <a:ext uri="{FF2B5EF4-FFF2-40B4-BE49-F238E27FC236}">
                    <a16:creationId xmlns:a16="http://schemas.microsoft.com/office/drawing/2014/main" id="{ED0EEB98-F7D0-445B-A81F-60AA6C144F3E}"/>
                  </a:ext>
                </a:extLst>
              </xdr:cNvPr>
              <xdr:cNvGraphicFramePr/>
            </xdr:nvGraphicFramePr>
            <xdr:xfrm>
              <a:off x="10563224" y="76200"/>
              <a:ext cx="2019301" cy="1143000"/>
            </xdr:xfrm>
            <a:graphic>
              <a:graphicData uri="http://schemas.microsoft.com/office/drawing/2012/timeslicer">
                <tsle:timeslicer name="Transaction_Date 1"/>
              </a:graphicData>
            </a:graphic>
          </xdr:graphicFrame>
        </mc:Choice>
        <mc:Fallback xmlns="">
          <xdr:sp macro="" textlink="">
            <xdr:nvSpPr>
              <xdr:cNvPr id="0" name=""/>
              <xdr:cNvSpPr>
                <a:spLocks noTextEdit="1"/>
              </xdr:cNvSpPr>
            </xdr:nvSpPr>
            <xdr:spPr>
              <a:xfrm>
                <a:off x="10563224" y="76200"/>
                <a:ext cx="2019301" cy="1143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43" name="Brand 1">
                <a:extLst>
                  <a:ext uri="{FF2B5EF4-FFF2-40B4-BE49-F238E27FC236}">
                    <a16:creationId xmlns:a16="http://schemas.microsoft.com/office/drawing/2014/main" id="{8CBF1348-337B-43BD-86C7-2C0F08BD369B}"/>
                  </a:ext>
                </a:extLst>
              </xdr:cNvPr>
              <xdr:cNvGraphicFramePr/>
            </xdr:nvGraphicFramePr>
            <xdr:xfrm>
              <a:off x="10944225" y="1304926"/>
              <a:ext cx="1647824" cy="2228849"/>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0944225" y="1304926"/>
                <a:ext cx="1647824" cy="222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Country 1">
                <a:extLst>
                  <a:ext uri="{FF2B5EF4-FFF2-40B4-BE49-F238E27FC236}">
                    <a16:creationId xmlns:a16="http://schemas.microsoft.com/office/drawing/2014/main" id="{1A77A4B2-96ED-4E68-A776-56880174F54D}"/>
                  </a:ext>
                </a:extLst>
              </xdr:cNvPr>
              <xdr:cNvGraphicFramePr/>
            </xdr:nvGraphicFramePr>
            <xdr:xfrm>
              <a:off x="10972800" y="3638550"/>
              <a:ext cx="1628775" cy="2066925"/>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972800" y="3638550"/>
                <a:ext cx="1628775"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285749</xdr:colOff>
      <xdr:row>1</xdr:row>
      <xdr:rowOff>9525</xdr:rowOff>
    </xdr:from>
    <xdr:to>
      <xdr:col>4</xdr:col>
      <xdr:colOff>847724</xdr:colOff>
      <xdr:row>3</xdr:row>
      <xdr:rowOff>123825</xdr:rowOff>
    </xdr:to>
    <xdr:sp macro="" textlink="">
      <xdr:nvSpPr>
        <xdr:cNvPr id="11" name="TextBox 10">
          <a:extLst>
            <a:ext uri="{FF2B5EF4-FFF2-40B4-BE49-F238E27FC236}">
              <a16:creationId xmlns:a16="http://schemas.microsoft.com/office/drawing/2014/main" id="{580180D3-7089-4474-9B07-6C99A91EC26F}"/>
            </a:ext>
          </a:extLst>
        </xdr:cNvPr>
        <xdr:cNvSpPr txBox="1"/>
      </xdr:nvSpPr>
      <xdr:spPr>
        <a:xfrm>
          <a:off x="285749" y="238125"/>
          <a:ext cx="42195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400">
            <a:solidFill>
              <a:schemeClr val="bg1"/>
            </a:solidFill>
            <a:latin typeface="Bahnschrift Light SemiCondensed" panose="020B0502040204020203" pitchFamily="34" charset="0"/>
          </a:endParaRPr>
        </a:p>
      </xdr:txBody>
    </xdr:sp>
    <xdr:clientData/>
  </xdr:twoCellAnchor>
  <xdr:twoCellAnchor>
    <xdr:from>
      <xdr:col>0</xdr:col>
      <xdr:colOff>390525</xdr:colOff>
      <xdr:row>4</xdr:row>
      <xdr:rowOff>114300</xdr:rowOff>
    </xdr:from>
    <xdr:to>
      <xdr:col>3</xdr:col>
      <xdr:colOff>771525</xdr:colOff>
      <xdr:row>10</xdr:row>
      <xdr:rowOff>180975</xdr:rowOff>
    </xdr:to>
    <xdr:graphicFrame macro="">
      <xdr:nvGraphicFramePr>
        <xdr:cNvPr id="20" name="Chart 19">
          <a:extLst>
            <a:ext uri="{FF2B5EF4-FFF2-40B4-BE49-F238E27FC236}">
              <a16:creationId xmlns:a16="http://schemas.microsoft.com/office/drawing/2014/main" id="{A7F6F769-89F1-4522-A7C6-D87EFCF3E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85726</xdr:colOff>
      <xdr:row>11</xdr:row>
      <xdr:rowOff>38099</xdr:rowOff>
    </xdr:from>
    <xdr:to>
      <xdr:col>7</xdr:col>
      <xdr:colOff>38100</xdr:colOff>
      <xdr:row>17</xdr:row>
      <xdr:rowOff>114300</xdr:rowOff>
    </xdr:to>
    <xdr:graphicFrame macro="">
      <xdr:nvGraphicFramePr>
        <xdr:cNvPr id="22" name="Chart 21">
          <a:extLst>
            <a:ext uri="{FF2B5EF4-FFF2-40B4-BE49-F238E27FC236}">
              <a16:creationId xmlns:a16="http://schemas.microsoft.com/office/drawing/2014/main" id="{DF25F2D8-A97D-4EEB-9528-F8C029D80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47625</xdr:rowOff>
    </xdr:from>
    <xdr:to>
      <xdr:col>14</xdr:col>
      <xdr:colOff>85725</xdr:colOff>
      <xdr:row>28</xdr:row>
      <xdr:rowOff>19050</xdr:rowOff>
    </xdr:to>
    <xdr:grpSp>
      <xdr:nvGrpSpPr>
        <xdr:cNvPr id="9" name="Group 8">
          <a:extLst>
            <a:ext uri="{FF2B5EF4-FFF2-40B4-BE49-F238E27FC236}">
              <a16:creationId xmlns:a16="http://schemas.microsoft.com/office/drawing/2014/main" id="{19059D02-B641-4172-832D-80F2C06BF27C}"/>
            </a:ext>
          </a:extLst>
        </xdr:cNvPr>
        <xdr:cNvGrpSpPr/>
      </xdr:nvGrpSpPr>
      <xdr:grpSpPr>
        <a:xfrm>
          <a:off x="0" y="47625"/>
          <a:ext cx="12887325" cy="6372225"/>
          <a:chOff x="0" y="0"/>
          <a:chExt cx="13125450" cy="6372225"/>
        </a:xfrm>
      </xdr:grpSpPr>
      <xdr:sp macro="" textlink="">
        <xdr:nvSpPr>
          <xdr:cNvPr id="3" name="Rectangle 2">
            <a:extLst>
              <a:ext uri="{FF2B5EF4-FFF2-40B4-BE49-F238E27FC236}">
                <a16:creationId xmlns:a16="http://schemas.microsoft.com/office/drawing/2014/main" id="{17AA4DB5-52C9-4B7E-969C-35F3DF2523B5}"/>
              </a:ext>
            </a:extLst>
          </xdr:cNvPr>
          <xdr:cNvSpPr/>
        </xdr:nvSpPr>
        <xdr:spPr>
          <a:xfrm>
            <a:off x="0" y="0"/>
            <a:ext cx="13125450" cy="6372225"/>
          </a:xfrm>
          <a:prstGeom prst="rect">
            <a:avLst/>
          </a:prstGeom>
          <a:solidFill>
            <a:srgbClr val="C5FBD3"/>
          </a:solidFill>
          <a:ln>
            <a:solidFill>
              <a:schemeClr val="tx1">
                <a:lumMod val="95000"/>
                <a:lumOff val="5000"/>
              </a:schemeClr>
            </a:solidFill>
            <a:prstDash val="sysDot"/>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2C750D6A-7BE6-4504-9738-4C741D1A4B7D}"/>
              </a:ext>
            </a:extLst>
          </xdr:cNvPr>
          <xdr:cNvSpPr/>
        </xdr:nvSpPr>
        <xdr:spPr>
          <a:xfrm>
            <a:off x="29126" y="19051"/>
            <a:ext cx="10942702" cy="581024"/>
          </a:xfrm>
          <a:prstGeom prst="roundRect">
            <a:avLst/>
          </a:prstGeom>
          <a:solidFill>
            <a:srgbClr val="88F8A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F76819A9-F00E-4507-99EA-735A980B5C77}"/>
              </a:ext>
            </a:extLst>
          </xdr:cNvPr>
          <xdr:cNvSpPr txBox="1"/>
        </xdr:nvSpPr>
        <xdr:spPr>
          <a:xfrm>
            <a:off x="1281479" y="38101"/>
            <a:ext cx="7989827" cy="581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Georgia" panose="02040502050405020303" pitchFamily="18" charset="0"/>
              </a:rPr>
              <a:t>SALES PERFORMANCE DASHBOARD</a:t>
            </a:r>
          </a:p>
        </xdr:txBody>
      </xdr:sp>
      <xdr:sp macro="" textlink="">
        <xdr:nvSpPr>
          <xdr:cNvPr id="7" name="Rectangle: Rounded Corners 6">
            <a:extLst>
              <a:ext uri="{FF2B5EF4-FFF2-40B4-BE49-F238E27FC236}">
                <a16:creationId xmlns:a16="http://schemas.microsoft.com/office/drawing/2014/main" id="{B9529F79-5E32-426D-AD75-0B9AB16163B3}"/>
              </a:ext>
            </a:extLst>
          </xdr:cNvPr>
          <xdr:cNvSpPr/>
        </xdr:nvSpPr>
        <xdr:spPr>
          <a:xfrm>
            <a:off x="38833" y="657226"/>
            <a:ext cx="1978975"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5">
        <xdr:nvSpPr>
          <xdr:cNvPr id="6" name="TextBox 5">
            <a:extLst>
              <a:ext uri="{FF2B5EF4-FFF2-40B4-BE49-F238E27FC236}">
                <a16:creationId xmlns:a16="http://schemas.microsoft.com/office/drawing/2014/main" id="{8D21CC15-8042-4594-8F0E-37B3061318A3}"/>
              </a:ext>
            </a:extLst>
          </xdr:cNvPr>
          <xdr:cNvSpPr txBox="1"/>
        </xdr:nvSpPr>
        <xdr:spPr>
          <a:xfrm>
            <a:off x="737820" y="666750"/>
            <a:ext cx="125235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186C42-FD1A-4213-80D4-528AB7F12C7B}" type="TxLink">
              <a:rPr lang="en-US" sz="1600" b="1" i="0" u="none" strike="noStrike">
                <a:solidFill>
                  <a:srgbClr val="000000"/>
                </a:solidFill>
                <a:latin typeface="Times New Roman" panose="02020603050405020304" pitchFamily="18" charset="0"/>
                <a:cs typeface="Times New Roman" panose="02020603050405020304" pitchFamily="18" charset="0"/>
              </a:rPr>
              <a:pPr/>
              <a:t>$12,160,093</a:t>
            </a:fld>
            <a:endParaRPr lang="en-US" sz="1600" b="1">
              <a:latin typeface="Times New Roman" panose="02020603050405020304" pitchFamily="18" charset="0"/>
              <a:cs typeface="Times New Roman" panose="02020603050405020304" pitchFamily="18" charset="0"/>
            </a:endParaRPr>
          </a:p>
        </xdr:txBody>
      </xdr:sp>
      <xdr:pic>
        <xdr:nvPicPr>
          <xdr:cNvPr id="17" name="Picture 16">
            <a:extLst>
              <a:ext uri="{FF2B5EF4-FFF2-40B4-BE49-F238E27FC236}">
                <a16:creationId xmlns:a16="http://schemas.microsoft.com/office/drawing/2014/main" id="{0EAAE582-EB70-4098-A2F8-29832F3B50EA}"/>
              </a:ext>
            </a:extLst>
          </xdr:cNvPr>
          <xdr:cNvPicPr>
            <a:picLocks noChangeAspect="1"/>
          </xdr:cNvPicPr>
        </xdr:nvPicPr>
        <xdr:blipFill>
          <a:blip xmlns:r="http://schemas.openxmlformats.org/officeDocument/2006/relationships" r:embed="rId3">
            <a:alphaModFix amt="70000"/>
            <a:extLst>
              <a:ext uri="{28A0092B-C50C-407E-A947-70E740481C1C}">
                <a14:useLocalDpi xmlns:a14="http://schemas.microsoft.com/office/drawing/2010/main" val="0"/>
              </a:ext>
            </a:extLst>
          </a:blip>
          <a:stretch>
            <a:fillRect/>
          </a:stretch>
        </xdr:blipFill>
        <xdr:spPr>
          <a:xfrm>
            <a:off x="58249" y="695324"/>
            <a:ext cx="669864" cy="590551"/>
          </a:xfrm>
          <a:prstGeom prst="rect">
            <a:avLst/>
          </a:prstGeom>
        </xdr:spPr>
      </xdr:pic>
      <xdr:sp macro="" textlink="">
        <xdr:nvSpPr>
          <xdr:cNvPr id="18" name="TextBox 17">
            <a:extLst>
              <a:ext uri="{FF2B5EF4-FFF2-40B4-BE49-F238E27FC236}">
                <a16:creationId xmlns:a16="http://schemas.microsoft.com/office/drawing/2014/main" id="{D792D04D-B1F2-47D3-A82A-92440510CE91}"/>
              </a:ext>
            </a:extLst>
          </xdr:cNvPr>
          <xdr:cNvSpPr txBox="1"/>
        </xdr:nvSpPr>
        <xdr:spPr>
          <a:xfrm>
            <a:off x="757238" y="990600"/>
            <a:ext cx="1262063"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Georgia" panose="02040502050405020303" pitchFamily="18" charset="0"/>
              </a:rPr>
              <a:t>Total</a:t>
            </a:r>
            <a:r>
              <a:rPr lang="en-US" sz="1100" b="1" baseline="0">
                <a:latin typeface="Georgia" panose="02040502050405020303" pitchFamily="18" charset="0"/>
              </a:rPr>
              <a:t> Revenue</a:t>
            </a:r>
            <a:endParaRPr lang="en-US" sz="1100" b="1">
              <a:latin typeface="Georgia" panose="02040502050405020303" pitchFamily="18" charset="0"/>
            </a:endParaRPr>
          </a:p>
        </xdr:txBody>
      </xdr:sp>
      <xdr:sp macro="" textlink="">
        <xdr:nvSpPr>
          <xdr:cNvPr id="19" name="Rectangle: Rounded Corners 18">
            <a:extLst>
              <a:ext uri="{FF2B5EF4-FFF2-40B4-BE49-F238E27FC236}">
                <a16:creationId xmlns:a16="http://schemas.microsoft.com/office/drawing/2014/main" id="{920272EE-8482-434D-B67C-2C3BD91F7F85}"/>
              </a:ext>
            </a:extLst>
          </xdr:cNvPr>
          <xdr:cNvSpPr/>
        </xdr:nvSpPr>
        <xdr:spPr>
          <a:xfrm>
            <a:off x="2116381" y="657226"/>
            <a:ext cx="1948337" cy="666749"/>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93555E2E-8012-4F7F-BEE6-4664FFA41797}"/>
              </a:ext>
            </a:extLst>
          </xdr:cNvPr>
          <xdr:cNvSpPr/>
        </xdr:nvSpPr>
        <xdr:spPr>
          <a:xfrm>
            <a:off x="4155098" y="657226"/>
            <a:ext cx="1878923" cy="6858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53378496-A536-4BB5-B489-6383F1CF2194}"/>
              </a:ext>
            </a:extLst>
          </xdr:cNvPr>
          <xdr:cNvSpPr/>
        </xdr:nvSpPr>
        <xdr:spPr>
          <a:xfrm>
            <a:off x="6125857" y="657226"/>
            <a:ext cx="2223172" cy="647699"/>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5">
        <xdr:nvSpPr>
          <xdr:cNvPr id="21" name="TextBox 20">
            <a:extLst>
              <a:ext uri="{FF2B5EF4-FFF2-40B4-BE49-F238E27FC236}">
                <a16:creationId xmlns:a16="http://schemas.microsoft.com/office/drawing/2014/main" id="{4D0A6D86-0963-4C9A-AD76-F0AE2BF37647}"/>
              </a:ext>
            </a:extLst>
          </xdr:cNvPr>
          <xdr:cNvSpPr txBox="1"/>
        </xdr:nvSpPr>
        <xdr:spPr>
          <a:xfrm>
            <a:off x="2854202" y="704850"/>
            <a:ext cx="109702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53A22D-A896-4362-90C6-83D50DBCE0DA}"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15,386</a:t>
            </a:fld>
            <a:endParaRPr lang="en-US" sz="1600" b="1">
              <a:latin typeface="Times New Roman" panose="02020603050405020304" pitchFamily="18" charset="0"/>
              <a:cs typeface="Times New Roman" panose="02020603050405020304" pitchFamily="18" charset="0"/>
            </a:endParaRPr>
          </a:p>
        </xdr:txBody>
      </xdr:sp>
      <xdr:pic>
        <xdr:nvPicPr>
          <xdr:cNvPr id="26" name="Picture 25">
            <a:extLst>
              <a:ext uri="{FF2B5EF4-FFF2-40B4-BE49-F238E27FC236}">
                <a16:creationId xmlns:a16="http://schemas.microsoft.com/office/drawing/2014/main" id="{83601217-2FD9-4121-BC64-1D91BD644B57}"/>
              </a:ext>
            </a:extLst>
          </xdr:cNvPr>
          <xdr:cNvPicPr>
            <a:picLocks noChangeAspect="1"/>
          </xdr:cNvPicPr>
        </xdr:nvPicPr>
        <xdr:blipFill>
          <a:blip xmlns:r="http://schemas.openxmlformats.org/officeDocument/2006/relationships" r:embed="rId4" cstate="print">
            <a:duotone>
              <a:prstClr val="black"/>
              <a:schemeClr val="accent6">
                <a:tint val="45000"/>
                <a:satMod val="400000"/>
              </a:schemeClr>
            </a:duotone>
            <a:alphaModFix/>
            <a:extLst>
              <a:ext uri="{BEBA8EAE-BF5A-486C-A8C5-ECC9F3942E4B}">
                <a14:imgProps xmlns:a14="http://schemas.microsoft.com/office/drawing/2010/main">
                  <a14:imgLayer r:embed="rId5">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155215" y="704849"/>
            <a:ext cx="611614" cy="590551"/>
          </a:xfrm>
          <a:prstGeom prst="rect">
            <a:avLst/>
          </a:prstGeom>
        </xdr:spPr>
      </xdr:pic>
      <xdr:sp macro="" textlink="">
        <xdr:nvSpPr>
          <xdr:cNvPr id="27" name="TextBox 26">
            <a:extLst>
              <a:ext uri="{FF2B5EF4-FFF2-40B4-BE49-F238E27FC236}">
                <a16:creationId xmlns:a16="http://schemas.microsoft.com/office/drawing/2014/main" id="{25448CB0-A0C7-4DA0-9D49-2B6F78A25A81}"/>
              </a:ext>
            </a:extLst>
          </xdr:cNvPr>
          <xdr:cNvSpPr txBox="1"/>
        </xdr:nvSpPr>
        <xdr:spPr>
          <a:xfrm>
            <a:off x="2805662" y="1019175"/>
            <a:ext cx="108731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Units Sold</a:t>
            </a:r>
          </a:p>
        </xdr:txBody>
      </xdr:sp>
      <xdr:sp macro="" textlink="">
        <xdr:nvSpPr>
          <xdr:cNvPr id="30" name="TextBox 29">
            <a:extLst>
              <a:ext uri="{FF2B5EF4-FFF2-40B4-BE49-F238E27FC236}">
                <a16:creationId xmlns:a16="http://schemas.microsoft.com/office/drawing/2014/main" id="{5CAAF15D-90F4-42C2-9D9E-8E751397F7EF}"/>
              </a:ext>
            </a:extLst>
          </xdr:cNvPr>
          <xdr:cNvSpPr txBox="1"/>
        </xdr:nvSpPr>
        <xdr:spPr>
          <a:xfrm>
            <a:off x="4902626" y="981075"/>
            <a:ext cx="1116440"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Total Brand</a:t>
            </a:r>
          </a:p>
        </xdr:txBody>
      </xdr:sp>
      <xdr:sp macro="" textlink="'Pivot Table'!E5">
        <xdr:nvSpPr>
          <xdr:cNvPr id="31" name="TextBox 30">
            <a:extLst>
              <a:ext uri="{FF2B5EF4-FFF2-40B4-BE49-F238E27FC236}">
                <a16:creationId xmlns:a16="http://schemas.microsoft.com/office/drawing/2014/main" id="{2C68F023-12EA-4C85-A475-F3BF0F0761C0}"/>
              </a:ext>
            </a:extLst>
          </xdr:cNvPr>
          <xdr:cNvSpPr txBox="1"/>
        </xdr:nvSpPr>
        <xdr:spPr>
          <a:xfrm>
            <a:off x="4922044" y="704849"/>
            <a:ext cx="1048483"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0C1A18-0F89-4C48-90C1-F0766E82B492}"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5</a:t>
            </a:fld>
            <a:endParaRPr lang="en-US" sz="1600" b="1">
              <a:latin typeface="Times New Roman" panose="02020603050405020304" pitchFamily="18" charset="0"/>
              <a:cs typeface="Times New Roman" panose="02020603050405020304" pitchFamily="18" charset="0"/>
            </a:endParaRPr>
          </a:p>
        </xdr:txBody>
      </xdr:sp>
      <xdr:pic>
        <xdr:nvPicPr>
          <xdr:cNvPr id="33" name="Picture 32">
            <a:extLst>
              <a:ext uri="{FF2B5EF4-FFF2-40B4-BE49-F238E27FC236}">
                <a16:creationId xmlns:a16="http://schemas.microsoft.com/office/drawing/2014/main" id="{D06176A2-3021-4C5C-A56D-602369646733}"/>
              </a:ext>
            </a:extLst>
          </xdr:cNvPr>
          <xdr:cNvPicPr>
            <a:picLocks noChangeAspect="1"/>
          </xdr:cNvPicPr>
        </xdr:nvPicPr>
        <xdr:blipFill>
          <a:blip xmlns:r="http://schemas.openxmlformats.org/officeDocument/2006/relationships" r:embed="rId6"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4213348" y="704850"/>
            <a:ext cx="640739" cy="609600"/>
          </a:xfrm>
          <a:prstGeom prst="rect">
            <a:avLst/>
          </a:prstGeom>
        </xdr:spPr>
      </xdr:pic>
      <xdr:sp macro="" textlink="">
        <xdr:nvSpPr>
          <xdr:cNvPr id="34" name="TextBox 33">
            <a:extLst>
              <a:ext uri="{FF2B5EF4-FFF2-40B4-BE49-F238E27FC236}">
                <a16:creationId xmlns:a16="http://schemas.microsoft.com/office/drawing/2014/main" id="{AD4D45F3-5C7D-4F44-ADEA-0CCB7264B174}"/>
              </a:ext>
            </a:extLst>
          </xdr:cNvPr>
          <xdr:cNvSpPr txBox="1"/>
        </xdr:nvSpPr>
        <xdr:spPr>
          <a:xfrm>
            <a:off x="6669515" y="1009650"/>
            <a:ext cx="166980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Average Revenue</a:t>
            </a:r>
          </a:p>
        </xdr:txBody>
      </xdr:sp>
      <xdr:sp macro="" textlink="'Pivot Table'!H5">
        <xdr:nvSpPr>
          <xdr:cNvPr id="35" name="TextBox 34">
            <a:extLst>
              <a:ext uri="{FF2B5EF4-FFF2-40B4-BE49-F238E27FC236}">
                <a16:creationId xmlns:a16="http://schemas.microsoft.com/office/drawing/2014/main" id="{57E03BC9-4054-4274-BBC0-CAB76274A694}"/>
              </a:ext>
            </a:extLst>
          </xdr:cNvPr>
          <xdr:cNvSpPr txBox="1"/>
        </xdr:nvSpPr>
        <xdr:spPr>
          <a:xfrm>
            <a:off x="6980176" y="704850"/>
            <a:ext cx="99023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E0D4C7-C4E3-41AB-A0FF-AF8A22C854DD}" type="TxLink">
              <a:rPr lang="en-US" sz="1400" b="1" i="0" u="none" strike="noStrike">
                <a:solidFill>
                  <a:srgbClr val="000000"/>
                </a:solidFill>
                <a:latin typeface="Times New Roman" panose="02020603050405020304" pitchFamily="18" charset="0"/>
                <a:cs typeface="Times New Roman" panose="02020603050405020304" pitchFamily="18" charset="0"/>
              </a:rPr>
              <a:pPr/>
              <a:t>$239,463</a:t>
            </a:fld>
            <a:endParaRPr lang="en-US" sz="1600" b="1">
              <a:latin typeface="Times New Roman" panose="02020603050405020304" pitchFamily="18" charset="0"/>
              <a:cs typeface="Times New Roman" panose="02020603050405020304" pitchFamily="18" charset="0"/>
            </a:endParaRPr>
          </a:p>
        </xdr:txBody>
      </xdr:sp>
      <xdr:pic>
        <xdr:nvPicPr>
          <xdr:cNvPr id="37" name="Picture 36">
            <a:extLst>
              <a:ext uri="{FF2B5EF4-FFF2-40B4-BE49-F238E27FC236}">
                <a16:creationId xmlns:a16="http://schemas.microsoft.com/office/drawing/2014/main" id="{913F644B-16E6-4DB5-BFA4-D0A6349B9B9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160134" y="676275"/>
            <a:ext cx="606465" cy="619125"/>
          </a:xfrm>
          <a:prstGeom prst="rect">
            <a:avLst/>
          </a:prstGeom>
        </xdr:spPr>
      </xdr:pic>
      <xdr:sp macro="" textlink="">
        <xdr:nvSpPr>
          <xdr:cNvPr id="38" name="Rectangle: Rounded Corners 37">
            <a:extLst>
              <a:ext uri="{FF2B5EF4-FFF2-40B4-BE49-F238E27FC236}">
                <a16:creationId xmlns:a16="http://schemas.microsoft.com/office/drawing/2014/main" id="{2C266425-BDEE-4051-98EE-D8029BA91857}"/>
              </a:ext>
            </a:extLst>
          </xdr:cNvPr>
          <xdr:cNvSpPr/>
        </xdr:nvSpPr>
        <xdr:spPr>
          <a:xfrm>
            <a:off x="67958" y="1381125"/>
            <a:ext cx="3524066"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32F52DBD-4EC7-4A55-8059-8C7E118E7D05}"/>
              </a:ext>
            </a:extLst>
          </xdr:cNvPr>
          <xdr:cNvGraphicFramePr>
            <a:graphicFrameLocks/>
          </xdr:cNvGraphicFramePr>
        </xdr:nvGraphicFramePr>
        <xdr:xfrm>
          <a:off x="145622" y="1438275"/>
          <a:ext cx="3329904" cy="1981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0" name="Rectangle: Rounded Corners 39">
            <a:extLst>
              <a:ext uri="{FF2B5EF4-FFF2-40B4-BE49-F238E27FC236}">
                <a16:creationId xmlns:a16="http://schemas.microsoft.com/office/drawing/2014/main" id="{0857160A-4530-49FA-9446-008720172202}"/>
              </a:ext>
            </a:extLst>
          </xdr:cNvPr>
          <xdr:cNvSpPr/>
        </xdr:nvSpPr>
        <xdr:spPr>
          <a:xfrm>
            <a:off x="3676678" y="1409700"/>
            <a:ext cx="3890100" cy="20669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1" name="Chart 40">
            <a:extLst>
              <a:ext uri="{FF2B5EF4-FFF2-40B4-BE49-F238E27FC236}">
                <a16:creationId xmlns:a16="http://schemas.microsoft.com/office/drawing/2014/main" id="{B62243F2-615D-40CF-AE0C-DCA705AEEB80}"/>
              </a:ext>
            </a:extLst>
          </xdr:cNvPr>
          <xdr:cNvGraphicFramePr>
            <a:graphicFrameLocks/>
          </xdr:cNvGraphicFramePr>
        </xdr:nvGraphicFramePr>
        <xdr:xfrm>
          <a:off x="3718229" y="1447800"/>
          <a:ext cx="3844438" cy="1981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2" name="Rectangle: Rounded Corners 41">
            <a:extLst>
              <a:ext uri="{FF2B5EF4-FFF2-40B4-BE49-F238E27FC236}">
                <a16:creationId xmlns:a16="http://schemas.microsoft.com/office/drawing/2014/main" id="{4649AD2A-A086-44D8-B0F0-47E51679F169}"/>
              </a:ext>
            </a:extLst>
          </xdr:cNvPr>
          <xdr:cNvSpPr/>
        </xdr:nvSpPr>
        <xdr:spPr>
          <a:xfrm>
            <a:off x="7659749" y="1409700"/>
            <a:ext cx="3467295" cy="2057400"/>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61A9CA46-92BD-4BC9-B012-05040F20A56D}"/>
              </a:ext>
            </a:extLst>
          </xdr:cNvPr>
          <xdr:cNvGraphicFramePr>
            <a:graphicFrameLocks/>
          </xdr:cNvGraphicFramePr>
        </xdr:nvGraphicFramePr>
        <xdr:xfrm>
          <a:off x="7717998" y="1438276"/>
          <a:ext cx="3417277" cy="195262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4" name="Rectangle: Rounded Corners 43">
            <a:extLst>
              <a:ext uri="{FF2B5EF4-FFF2-40B4-BE49-F238E27FC236}">
                <a16:creationId xmlns:a16="http://schemas.microsoft.com/office/drawing/2014/main" id="{DD82A06D-EF10-408F-9A29-6D9341B186FB}"/>
              </a:ext>
            </a:extLst>
          </xdr:cNvPr>
          <xdr:cNvSpPr/>
        </xdr:nvSpPr>
        <xdr:spPr>
          <a:xfrm>
            <a:off x="48541" y="3562350"/>
            <a:ext cx="3524066" cy="20288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BFDDED90-BFBA-43C0-B70D-53A4A1ACAA5E}"/>
              </a:ext>
            </a:extLst>
          </xdr:cNvPr>
          <xdr:cNvSpPr/>
        </xdr:nvSpPr>
        <xdr:spPr>
          <a:xfrm>
            <a:off x="7669457" y="3552825"/>
            <a:ext cx="3467288" cy="2038350"/>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A61F2DF5-CE10-4592-B081-A1C80B509057}"/>
              </a:ext>
            </a:extLst>
          </xdr:cNvPr>
          <xdr:cNvGraphicFramePr>
            <a:graphicFrameLocks/>
          </xdr:cNvGraphicFramePr>
        </xdr:nvGraphicFramePr>
        <xdr:xfrm>
          <a:off x="7766538" y="3562350"/>
          <a:ext cx="3339612" cy="19431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8" name="Rectangle: Rounded Corners 47">
            <a:extLst>
              <a:ext uri="{FF2B5EF4-FFF2-40B4-BE49-F238E27FC236}">
                <a16:creationId xmlns:a16="http://schemas.microsoft.com/office/drawing/2014/main" id="{850765B2-0F92-4E5C-B20B-0A304AA6B1B2}"/>
              </a:ext>
            </a:extLst>
          </xdr:cNvPr>
          <xdr:cNvSpPr/>
        </xdr:nvSpPr>
        <xdr:spPr>
          <a:xfrm>
            <a:off x="3666977" y="3552824"/>
            <a:ext cx="3919203" cy="2057401"/>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78786621-86FF-4968-8D77-F134AA40CB16}"/>
              </a:ext>
            </a:extLst>
          </xdr:cNvPr>
          <xdr:cNvGraphicFramePr>
            <a:graphicFrameLocks/>
          </xdr:cNvGraphicFramePr>
        </xdr:nvGraphicFramePr>
        <xdr:xfrm>
          <a:off x="3679397" y="3571875"/>
          <a:ext cx="3741865" cy="1962149"/>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xmlns:a14="http://schemas.microsoft.com/office/drawing/2010/main">
        <mc:Choice Requires="a14">
          <xdr:graphicFrame macro="">
            <xdr:nvGraphicFramePr>
              <xdr:cNvPr id="50" name="Operating_System">
                <a:extLst>
                  <a:ext uri="{FF2B5EF4-FFF2-40B4-BE49-F238E27FC236}">
                    <a16:creationId xmlns:a16="http://schemas.microsoft.com/office/drawing/2014/main" id="{55C5A940-E098-4713-B940-A50E11F3B246}"/>
                  </a:ext>
                </a:extLst>
              </xdr:cNvPr>
              <xdr:cNvGraphicFramePr/>
            </xdr:nvGraphicFramePr>
            <xdr:xfrm>
              <a:off x="8449570" y="695325"/>
              <a:ext cx="2502856" cy="619125"/>
            </xdr:xfrm>
            <a:graphic>
              <a:graphicData uri="http://schemas.microsoft.com/office/drawing/2010/slicer">
                <sle:slicer xmlns:sle="http://schemas.microsoft.com/office/drawing/2010/slicer" name="Operating_System"/>
              </a:graphicData>
            </a:graphic>
          </xdr:graphicFrame>
        </mc:Choice>
        <mc:Fallback xmlns="">
          <xdr:sp macro="" textlink="">
            <xdr:nvSpPr>
              <xdr:cNvPr id="0" name=""/>
              <xdr:cNvSpPr>
                <a:spLocks noTextEdit="1"/>
              </xdr:cNvSpPr>
            </xdr:nvSpPr>
            <xdr:spPr>
              <a:xfrm>
                <a:off x="8235686" y="704850"/>
                <a:ext cx="2573653"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51" name="Transaction_Date">
                <a:extLst>
                  <a:ext uri="{FF2B5EF4-FFF2-40B4-BE49-F238E27FC236}">
                    <a16:creationId xmlns:a16="http://schemas.microsoft.com/office/drawing/2014/main" id="{AA33FD71-0EBA-46E7-8192-A942A0AB9CA1}"/>
                  </a:ext>
                </a:extLst>
              </xdr:cNvPr>
              <xdr:cNvGraphicFramePr/>
            </xdr:nvGraphicFramePr>
            <xdr:xfrm>
              <a:off x="11038195" y="28575"/>
              <a:ext cx="1957168" cy="116205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10837937" y="76200"/>
                <a:ext cx="1921661" cy="1162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52" name="Brand">
                <a:extLst>
                  <a:ext uri="{FF2B5EF4-FFF2-40B4-BE49-F238E27FC236}">
                    <a16:creationId xmlns:a16="http://schemas.microsoft.com/office/drawing/2014/main" id="{0DBBBC9E-594D-483E-A1F1-676961AB58EB}"/>
                  </a:ext>
                </a:extLst>
              </xdr:cNvPr>
              <xdr:cNvGraphicFramePr/>
            </xdr:nvGraphicFramePr>
            <xdr:xfrm>
              <a:off x="11232356" y="1295400"/>
              <a:ext cx="1759121" cy="2162175"/>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028576" y="1343025"/>
                <a:ext cx="1727207" cy="21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Country">
                <a:extLst>
                  <a:ext uri="{FF2B5EF4-FFF2-40B4-BE49-F238E27FC236}">
                    <a16:creationId xmlns:a16="http://schemas.microsoft.com/office/drawing/2014/main" id="{967DD909-7FE5-445F-A230-3E04578E4374}"/>
                  </a:ext>
                </a:extLst>
              </xdr:cNvPr>
              <xdr:cNvGraphicFramePr/>
            </xdr:nvGraphicFramePr>
            <xdr:xfrm>
              <a:off x="11251773" y="3543301"/>
              <a:ext cx="1759121" cy="196215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47641" y="3590926"/>
                <a:ext cx="1727207"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5" name="Chart 54">
            <a:extLst>
              <a:ext uri="{FF2B5EF4-FFF2-40B4-BE49-F238E27FC236}">
                <a16:creationId xmlns:a16="http://schemas.microsoft.com/office/drawing/2014/main" id="{EB1CB5D2-1912-4F65-A726-F22E170D862A}"/>
              </a:ext>
            </a:extLst>
          </xdr:cNvPr>
          <xdr:cNvGraphicFramePr>
            <a:graphicFrameLocks/>
          </xdr:cNvGraphicFramePr>
        </xdr:nvGraphicFramePr>
        <xdr:xfrm>
          <a:off x="135914" y="3571875"/>
          <a:ext cx="3339612" cy="1933575"/>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45370369" backgroundQuery="1" createdVersion="7" refreshedVersion="7" minRefreshableVersion="3" recordCount="0" supportSubquery="1" supportAdvancedDrill="1" xr:uid="{7FB7B9CA-C1E2-46B6-9983-F9F2B55BE59E}">
  <cacheSource type="external" connectionId="2"/>
  <cacheFields count="1">
    <cacheField name="[Measures].[Sum of Total_Revenue]" caption="Sum of Total_Revenue" numFmtId="0" hierarchy="23"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47106478" backgroundQuery="1" createdVersion="7" refreshedVersion="7" minRefreshableVersion="3" recordCount="0" supportSubquery="1" supportAdvancedDrill="1" xr:uid="{7CBB3D09-C387-470D-AA15-8613FF41DD84}">
  <cacheSource type="external" connectionId="2"/>
  <cacheFields count="1">
    <cacheField name="[Measures].[Distinct Count of Brand 2]" caption="Distinct Count of Brand 2" numFmtId="0" hierarchy="26"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48495371" backgroundQuery="1" createdVersion="7" refreshedVersion="7" minRefreshableVersion="3" recordCount="0" supportSubquery="1" supportAdvancedDrill="1" xr:uid="{B6A19E01-302E-40C4-96AE-6AC37EBE6D3C}">
  <cacheSource type="external" connectionId="2"/>
  <cacheFields count="1">
    <cacheField name="[Measures].[Distinct Count of Transaction_ID]" caption="Distinct Count of Transaction_ID" numFmtId="0" hierarchy="28"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1157404" backgroundQuery="1" createdVersion="7" refreshedVersion="7" minRefreshableVersion="3" recordCount="0" supportSubquery="1" supportAdvancedDrill="1" xr:uid="{EF088850-D9D1-4F34-BE60-911CE098EA60}">
  <cacheSource type="external" connectionId="2"/>
  <cacheFields count="1">
    <cacheField name="[Measures].[Sum of Units_Sold]" caption="Sum of Units_Sold" numFmtId="0" hierarchy="24"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6111111" backgroundQuery="1" createdVersion="7" refreshedVersion="7" minRefreshableVersion="3" recordCount="0" supportSubquery="1" supportAdvancedDrill="1" xr:uid="{10584ECA-4485-4D22-8ADE-0954AD904684}">
  <cacheSource type="external" connectionId="2"/>
  <cacheFields count="2">
    <cacheField name="[Measures].[Sum of Average Revenue]" caption="Sum of Average Revenue" numFmtId="0" hierarchy="29" level="32767"/>
    <cacheField name="[Mobile_Phone_Sales].[Operating_System].[Operating_System]" caption="Operating_System" numFmtId="0" hierarchy="9" level="1">
      <sharedItems count="2">
        <s v="Android"/>
        <s v="iOS"/>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1"/>
      </fieldsUsage>
    </cacheHierarchy>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0000003" backgroundQuery="1" createdVersion="7" refreshedVersion="7" minRefreshableVersion="3" recordCount="0" supportSubquery="1" supportAdvancedDrill="1" xr:uid="{1B7170DE-7C33-4B2C-A827-ADF54219A53A}">
  <cacheSource type="external" connectionId="2"/>
  <cacheFields count="1">
    <cacheField name="[Measures].[Sum of Average Revenue]" caption="Sum of Average Revenue" numFmtId="0" hierarchy="29"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62962965" backgroundQuery="1" createdVersion="7" refreshedVersion="7" minRefreshableVersion="3" recordCount="0" supportSubquery="1" supportAdvancedDrill="1" xr:uid="{61251A43-F6F6-479A-A983-4EE86E6206AB}">
  <cacheSource type="external" connectionId="2"/>
  <cacheFields count="2">
    <cacheField name="[Mobile_Phone_Sales].[Day Name].[Day Name]" caption="Day Name" numFmtId="0" hierarchy="3" level="1">
      <sharedItems count="7">
        <s v="Friday"/>
        <s v="Monday"/>
        <s v="Saturday"/>
        <s v="Sunday"/>
        <s v="Thursday"/>
        <s v="Tuesday"/>
        <s v="Wednesday"/>
      </sharedItems>
    </cacheField>
    <cacheField name="[Measures].[Sum of Total_Revenue]" caption="Sum of Total_Revenue" numFmtId="0" hierarchy="23"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2" memberValueDatatype="130" unbalanced="0">
      <fieldsUsage count="2">
        <fieldUsage x="-1"/>
        <fieldUsage x="0"/>
      </fieldsUsage>
    </cacheHierarchy>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289352" backgroundQuery="1" createdVersion="7" refreshedVersion="7" minRefreshableVersion="3" recordCount="0" supportSubquery="1" supportAdvancedDrill="1" xr:uid="{DB997F82-8091-41AA-AA45-CE7C499EE646}">
  <cacheSource type="external" connectionId="2"/>
  <cacheFields count="2">
    <cacheField name="[Measures].[Sum of Units_Sold]" caption="Sum of Units_Sold" numFmtId="0" hierarchy="24" level="32767"/>
    <cacheField name="[Mobile_Phone_Sales].[Brand].[Brand]" caption="Brand" numFmtId="0" hierarchy="6" level="1">
      <sharedItems count="5">
        <s v="Apple"/>
        <s v="Google"/>
        <s v="OnePlus"/>
        <s v="Samsung"/>
        <s v="Xiaomi"/>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1"/>
      </fieldsUsage>
    </cacheHierarchy>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3.605626851851" backgroundQuery="1" createdVersion="7" refreshedVersion="7" minRefreshableVersion="3" recordCount="0" supportSubquery="1" supportAdvancedDrill="1" xr:uid="{29156871-1827-48AF-A1AC-BFFFEFA09B15}">
  <cacheSource type="external" connectionId="2"/>
  <cacheFields count="2">
    <cacheField name="[Measures].[Sum of Total_Revenue]" caption="Sum of Total_Revenue" numFmtId="0" hierarchy="23" level="32767"/>
    <cacheField name="[Mobile_Phone_Sales].[Mobile_Model].[Mobile_Model]" caption="Mobile_Model" numFmtId="0" hierarchy="5" level="1">
      <sharedItems count="5">
        <s v="Galaxy S25 Ultra"/>
        <s v="OnePlus 11R"/>
        <s v="OnePlus 12 Pro"/>
        <s v="Pixel 9 Pro"/>
        <s v="Z Fold 6"/>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fieldsUsage count="2">
        <fieldUsage x="-1"/>
        <fieldUsage x="1"/>
      </fieldsUsage>
    </cacheHierarchy>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787037" backgroundQuery="1" createdVersion="7" refreshedVersion="7" minRefreshableVersion="3" recordCount="0" supportSubquery="1" supportAdvancedDrill="1" xr:uid="{EB4C77C4-2CC7-4193-AF8D-9FC7C27FF936}">
  <cacheSource type="external" connectionId="2"/>
  <cacheFields count="2">
    <cacheField name="[Measures].[Sum of Total_Revenue]" caption="Sum of Total_Revenue" numFmtId="0" hierarchy="23" level="32767"/>
    <cacheField name="[Mobile_Phone_Sales].[Sales_Channel].[Sales_Channel]" caption="Sales_Channel" numFmtId="0" hierarchy="14" level="1">
      <sharedItems count="3">
        <s v="Online"/>
        <s v="Partner"/>
        <s v="Retail Store"/>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fieldsUsage count="2">
        <fieldUsage x="-1"/>
        <fieldUsage x="1"/>
      </fieldsUsage>
    </cacheHierarchy>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4513891" backgroundQuery="1" createdVersion="7" refreshedVersion="7" minRefreshableVersion="3" recordCount="0" supportSubquery="1" supportAdvancedDrill="1" xr:uid="{8D622B23-1463-4EBA-B34A-6FCBD2C41751}">
  <cacheSource type="external" connectionId="2"/>
  <cacheFields count="2">
    <cacheField name="[Measures].[Sum of Units_Sold]" caption="Sum of Units_Sold" numFmtId="0" hierarchy="24" level="32767"/>
    <cacheField name="[Mobile_Phone_Sales].[Mobile_Model].[Mobile_Model]" caption="Mobile_Model" numFmtId="0" hierarchy="5" level="1">
      <sharedItems count="19">
        <s v="Galaxy A55"/>
        <s v="Galaxy M15"/>
        <s v="Galaxy S25 Ultra"/>
        <s v="iPhone 14"/>
        <s v="iPhone 14 Pro"/>
        <s v="iPhone 15"/>
        <s v="iPhone 15 Pro"/>
        <s v="iPhone SE"/>
        <s v="Mi 13T Pro"/>
        <s v="OnePlus 11R"/>
        <s v="OnePlus 12 Pro"/>
        <s v="OnePlus Nord 4"/>
        <s v="Pixel 8a"/>
        <s v="Pixel 9"/>
        <s v="Pixel 9 Pro"/>
        <s v="Poco X6 Pro"/>
        <s v="Redmi Note 13"/>
        <s v="Xiaomi 14 Ultra"/>
        <s v="Z Fold 6"/>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fieldsUsage count="2">
        <fieldUsage x="-1"/>
        <fieldUsage x="1"/>
      </fieldsUsage>
    </cacheHierarchy>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107.567070138888" backgroundQuery="1" createdVersion="7" refreshedVersion="7" minRefreshableVersion="3" recordCount="0" supportSubquery="1" supportAdvancedDrill="1" xr:uid="{52B20062-0288-469E-BFA2-7AF321139799}">
  <cacheSource type="external" connectionId="2"/>
  <cacheFields count="2">
    <cacheField name="[Measures].[Sum of Total_Revenue]" caption="Sum of Total_Revenue" numFmtId="0" hierarchy="23" level="32767"/>
    <cacheField name="[Mobile_Phone_Sales].[Brand].[Brand]" caption="Brand" numFmtId="0" hierarchy="6" level="1">
      <sharedItems count="5">
        <s v="Apple"/>
        <s v="Google"/>
        <s v="OnePlus"/>
        <s v="Samsung"/>
        <s v="Xiaomi"/>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2"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2" memberValueDatatype="130" unbalanced="0"/>
    <cacheHierarchy uniqueName="[Mobile_Phone_Sales].[Day Name]" caption="Day Name" attribute="1" defaultMemberUniqueName="[Mobile_Phone_Sales].[Day Name].[All]" allUniqueName="[Mobile_Phone_Sales].[Day Name].[All]" dimensionUniqueName="[Mobile_Phone_Sales]" displayFolder="" count="2"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2"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1"/>
      </fieldsUsage>
    </cacheHierarchy>
    <cacheHierarchy uniqueName="[Mobile_Phone_Sales].[Storage_Size]" caption="Storage_Size" attribute="1" defaultMemberUniqueName="[Mobile_Phone_Sales].[Storage_Size].[All]" allUniqueName="[Mobile_Phone_Sales].[Storage_Size].[All]" dimensionUniqueName="[Mobile_Phone_Sales]" displayFolder="" count="2" memberValueDatatype="130" unbalanced="0"/>
    <cacheHierarchy uniqueName="[Mobile_Phone_Sales].[Color]" caption="Color" attribute="1" defaultMemberUniqueName="[Mobile_Phone_Sales].[Color].[All]" allUniqueName="[Mobile_Phone_Sales].[Color].[All]" dimensionUniqueName="[Mobile_Phone_Sales]" displayFolder="" count="2"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2" memberValueDatatype="20" unbalanced="0"/>
    <cacheHierarchy uniqueName="[Mobile_Phone_Sales].[Units_Sold]" caption="Units_Sold" attribute="1" defaultMemberUniqueName="[Mobile_Phone_Sales].[Units_Sold].[All]" allUniqueName="[Mobile_Phone_Sales].[Units_Sold].[All]" dimensionUniqueName="[Mobile_Phone_Sales]" displayFolder="" count="2"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2"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2"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2"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2"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2"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107.56707060185" backgroundQuery="1" createdVersion="7" refreshedVersion="7" minRefreshableVersion="3" recordCount="0" supportSubquery="1" supportAdvancedDrill="1" xr:uid="{4B508912-2366-488A-99E2-CAFF76942F38}">
  <cacheSource type="external" connectionId="2"/>
  <cacheFields count="3">
    <cacheField name="[Mobile_Phone_Sales].[Month Name].[Month Name]" caption="Month Name" numFmtId="0" hierarchy="2" level="1">
      <sharedItems count="12">
        <s v="April"/>
        <s v="August"/>
        <s v="December"/>
        <s v="February"/>
        <s v="January"/>
        <s v="July"/>
        <s v="June"/>
        <s v="March"/>
        <s v="May"/>
        <s v="November"/>
        <s v="October"/>
        <s v="September"/>
      </sharedItems>
    </cacheField>
    <cacheField name="[Measures].[Sum of Total_Revenue]" caption="Sum of Total_Revenue" numFmtId="0" hierarchy="23" level="32767"/>
    <cacheField name="[Mobile_Phone_Sales].[Brand].[Brand]" caption="Brand" numFmtId="0" hierarchy="6"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2"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2" memberValueDatatype="130" unbalanced="0">
      <fieldsUsage count="2">
        <fieldUsage x="-1"/>
        <fieldUsage x="0"/>
      </fieldsUsage>
    </cacheHierarchy>
    <cacheHierarchy uniqueName="[Mobile_Phone_Sales].[Day Name]" caption="Day Name" attribute="1" defaultMemberUniqueName="[Mobile_Phone_Sales].[Day Name].[All]" allUniqueName="[Mobile_Phone_Sales].[Day Name].[All]" dimensionUniqueName="[Mobile_Phone_Sales]" displayFolder="" count="2"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2"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2"/>
      </fieldsUsage>
    </cacheHierarchy>
    <cacheHierarchy uniqueName="[Mobile_Phone_Sales].[Storage_Size]" caption="Storage_Size" attribute="1" defaultMemberUniqueName="[Mobile_Phone_Sales].[Storage_Size].[All]" allUniqueName="[Mobile_Phone_Sales].[Storage_Size].[All]" dimensionUniqueName="[Mobile_Phone_Sales]" displayFolder="" count="2" memberValueDatatype="130" unbalanced="0"/>
    <cacheHierarchy uniqueName="[Mobile_Phone_Sales].[Color]" caption="Color" attribute="1" defaultMemberUniqueName="[Mobile_Phone_Sales].[Color].[All]" allUniqueName="[Mobile_Phone_Sales].[Color].[All]" dimensionUniqueName="[Mobile_Phone_Sales]" displayFolder="" count="2"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2" memberValueDatatype="20" unbalanced="0"/>
    <cacheHierarchy uniqueName="[Mobile_Phone_Sales].[Units_Sold]" caption="Units_Sold" attribute="1" defaultMemberUniqueName="[Mobile_Phone_Sales].[Units_Sold].[All]" allUniqueName="[Mobile_Phone_Sales].[Units_Sold].[All]" dimensionUniqueName="[Mobile_Phone_Sales]" displayFolder="" count="2"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2"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2"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2"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2"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2"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107.567071180558" backgroundQuery="1" createdVersion="7" refreshedVersion="7" minRefreshableVersion="3" recordCount="0" supportSubquery="1" supportAdvancedDrill="1" xr:uid="{006E04FB-CFB6-44EA-B501-7935BC4A3A09}">
  <cacheSource type="external" connectionId="2"/>
  <cacheFields count="3">
    <cacheField name="[Measures].[Sum of Units_Sold]" caption="Sum of Units_Sold" numFmtId="0" hierarchy="24" level="32767"/>
    <cacheField name="[Mobile_Phone_Sales].[Sales_Channel].[Sales_Channel]" caption="Sales_Channel" numFmtId="0" hierarchy="14" level="1">
      <sharedItems count="3">
        <s v="Online"/>
        <s v="Partner"/>
        <s v="Retail Store"/>
      </sharedItems>
    </cacheField>
    <cacheField name="[Mobile_Phone_Sales].[Brand].[Brand]" caption="Brand" numFmtId="0" hierarchy="6"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2"/>
      </fieldsUsage>
    </cacheHierarchy>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fieldsUsage count="2">
        <fieldUsage x="-1"/>
        <fieldUsage x="1"/>
      </fieldsUsage>
    </cacheHierarchy>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107.567071759258" backgroundQuery="1" createdVersion="7" refreshedVersion="7" minRefreshableVersion="3" recordCount="0" supportSubquery="1" supportAdvancedDrill="1" xr:uid="{FAA10A95-404B-4A59-81B1-B0B7A4B75FE0}">
  <cacheSource type="external" connectionId="2"/>
  <cacheFields count="3">
    <cacheField name="[Mobile_Phone_Sales].[Country].[Country]" caption="Country" numFmtId="0" hierarchy="19" level="1">
      <sharedItems count="4">
        <s v="Bangladesh"/>
        <s v="India"/>
        <s v="Pakistan"/>
        <s v="Turkey"/>
      </sharedItems>
    </cacheField>
    <cacheField name="[Measures].[Sum of Total_Revenue]" caption="Sum of Total_Revenue" numFmtId="0" hierarchy="23" level="32767"/>
    <cacheField name="[Mobile_Phone_Sales].[Brand].[Brand]" caption="Brand" numFmtId="0" hierarchy="6"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2"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2" memberValueDatatype="130" unbalanced="0"/>
    <cacheHierarchy uniqueName="[Mobile_Phone_Sales].[Day Name]" caption="Day Name" attribute="1" defaultMemberUniqueName="[Mobile_Phone_Sales].[Day Name].[All]" allUniqueName="[Mobile_Phone_Sales].[Day Name].[All]" dimensionUniqueName="[Mobile_Phone_Sales]" displayFolder="" count="2"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2"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2"/>
      </fieldsUsage>
    </cacheHierarchy>
    <cacheHierarchy uniqueName="[Mobile_Phone_Sales].[Storage_Size]" caption="Storage_Size" attribute="1" defaultMemberUniqueName="[Mobile_Phone_Sales].[Storage_Size].[All]" allUniqueName="[Mobile_Phone_Sales].[Storage_Size].[All]" dimensionUniqueName="[Mobile_Phone_Sales]" displayFolder="" count="2" memberValueDatatype="130" unbalanced="0"/>
    <cacheHierarchy uniqueName="[Mobile_Phone_Sales].[Color]" caption="Color" attribute="1" defaultMemberUniqueName="[Mobile_Phone_Sales].[Color].[All]" allUniqueName="[Mobile_Phone_Sales].[Color].[All]" dimensionUniqueName="[Mobile_Phone_Sales]" displayFolder="" count="2"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2" memberValueDatatype="20" unbalanced="0"/>
    <cacheHierarchy uniqueName="[Mobile_Phone_Sales].[Units_Sold]" caption="Units_Sold" attribute="1" defaultMemberUniqueName="[Mobile_Phone_Sales].[Units_Sold].[All]" allUniqueName="[Mobile_Phone_Sales].[Units_Sold].[All]" dimensionUniqueName="[Mobile_Phone_Sales]" displayFolder="" count="2"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2"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2"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2"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2"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fieldsUsage count="2">
        <fieldUsage x="-1"/>
        <fieldUsage x="0"/>
      </fieldsUsage>
    </cacheHierarchy>
    <cacheHierarchy uniqueName="[Mobile_Phone_Sales].[City]" caption="City" attribute="1" defaultMemberUniqueName="[Mobile_Phone_Sales].[City].[All]" allUniqueName="[Mobile_Phone_Sales].[City].[All]" dimensionUniqueName="[Mobile_Phone_Sales]" displayFolder="" count="2"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107.56707222222" backgroundQuery="1" createdVersion="7" refreshedVersion="7" minRefreshableVersion="3" recordCount="0" supportSubquery="1" supportAdvancedDrill="1" xr:uid="{CF61FF23-A346-4A7B-9298-B41FB48CC6AC}">
  <cacheSource type="external" connectionId="2"/>
  <cacheFields count="3">
    <cacheField name="[Mobile_Phone_Sales].[Payment_Type].[Payment_Type]" caption="Payment_Type" numFmtId="0" hierarchy="15" level="1">
      <sharedItems count="4">
        <s v="Cash"/>
        <s v="Credit Card"/>
        <s v="EMI"/>
        <s v="UPI"/>
      </sharedItems>
    </cacheField>
    <cacheField name="[Measures].[Sum of Average Revenue]" caption="Sum of Average Revenue" numFmtId="0" hierarchy="29" level="32767"/>
    <cacheField name="[Mobile_Phone_Sales].[Brand].[Brand]" caption="Brand" numFmtId="0" hierarchy="6"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2"/>
      </fieldsUsage>
    </cacheHierarchy>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fieldsUsage count="2">
        <fieldUsage x="-1"/>
        <fieldUsage x="0"/>
      </fieldsUsage>
    </cacheHierarchy>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107.567072800928" backgroundQuery="1" createdVersion="7" refreshedVersion="7" minRefreshableVersion="3" recordCount="0" supportSubquery="1" supportAdvancedDrill="1" xr:uid="{7BA408EE-FDBC-4167-B989-4CAA1F602CBC}">
  <cacheSource type="external" connectionId="2"/>
  <cacheFields count="3">
    <cacheField name="[Measures].[Sum of Total_Revenue]" caption="Sum of Total_Revenue" numFmtId="0" hierarchy="23" level="32767"/>
    <cacheField name="[Mobile_Phone_Sales].[Customer_Gender].[Customer_Gender]" caption="Customer_Gender" numFmtId="0" hierarchy="18" level="1">
      <sharedItems count="3">
        <s v="Female"/>
        <s v="Male"/>
        <s v="Other"/>
      </sharedItems>
    </cacheField>
    <cacheField name="[Mobile_Phone_Sales].[Brand].[Brand]" caption="Brand" numFmtId="0" hierarchy="6"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2"/>
      </fieldsUsage>
    </cacheHierarchy>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fieldsUsage count="2">
        <fieldUsage x="-1"/>
        <fieldUsage x="1"/>
      </fieldsUsage>
    </cacheHierarchy>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35879632" backgroundQuery="1" createdVersion="3" refreshedVersion="7" minRefreshableVersion="3" recordCount="0" supportSubquery="1" supportAdvancedDrill="1" xr:uid="{69AF7FB4-A8EB-47CD-9956-1A897BC12FFB}">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454680325"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31788078703" backgroundQuery="1" createdVersion="3" refreshedVersion="7" minRefreshableVersion="3" recordCount="0" supportSubquery="1" supportAdvancedDrill="1" xr:uid="{F0336AC0-AD3A-4EBA-91DF-A301B1157259}">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9842054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2EE729-C016-4B89-9E69-1C500481A0FD}" name="PivotTable18"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G31:H51" firstHeaderRow="1" firstDataRow="1" firstDataCol="1"/>
  <pivotFields count="2">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 Units Sold by Model" fld="0" baseField="1" baseItem="0" numFmtId="3"/>
  </dataFields>
  <formats count="14">
    <format dxfId="34">
      <pivotArea outline="0" collapsedLevelsAreSubtotals="1" fieldPosition="0"/>
    </format>
    <format dxfId="33">
      <pivotArea outline="0" fieldPosition="0">
        <references count="1">
          <reference field="4294967294" count="1">
            <x v="0"/>
          </reference>
        </references>
      </pivotArea>
    </format>
    <format dxfId="32">
      <pivotArea type="all" dataOnly="0" outline="0" fieldPosition="0"/>
    </format>
    <format dxfId="31">
      <pivotArea outline="0" collapsedLevelsAreSubtotals="1" fieldPosition="0"/>
    </format>
    <format dxfId="30">
      <pivotArea dataOnly="0" labelOnly="1" fieldPosition="0">
        <references count="1">
          <reference field="1" count="0"/>
        </references>
      </pivotArea>
    </format>
    <format dxfId="29">
      <pivotArea dataOnly="0" labelOnly="1" grandRow="1" outline="0" fieldPosition="0"/>
    </format>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outline="0" axis="axisValues" fieldPosition="0"/>
    </format>
    <format dxfId="22">
      <pivotArea field="1" type="button" dataOnly="0" labelOnly="1" outline="0" axis="axisRow" fieldPosition="0"/>
    </format>
    <format dxfId="21">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 Sold by Model"/>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8522B0-3D97-4D54-97E6-27EEFE33A489}" name="Units Sold by Sales Channel" cacheId="1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8">
  <location ref="G7:H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Units Sold by Sales Channel" fld="0" baseField="1" baseItem="0"/>
  </dataFields>
  <formats count="13">
    <format dxfId="47">
      <pivotArea outline="0" collapsedLevelsAreSubtotals="1"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fieldPosition="0">
        <references count="1">
          <reference field="1" count="0"/>
        </references>
      </pivotArea>
    </format>
    <format dxfId="37">
      <pivotArea dataOnly="0" labelOnly="1" grandRow="1" outline="0" fieldPosition="0"/>
    </format>
    <format dxfId="36">
      <pivotArea field="1" type="button" dataOnly="0" labelOnly="1" outline="0" axis="axisRow" fieldPosition="0"/>
    </format>
    <format dxfId="35">
      <pivotArea dataOnly="0" labelOnly="1" outline="0" axis="axisValues" fieldPosition="0"/>
    </format>
  </formats>
  <chartFormats count="9">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7"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_Revenue"/>
    <pivotHierarchy dragToData="1" caption="Units Sold by Sales Channel"/>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97719-0DD4-48B9-9B68-ECB2D87E9B35}" name="Total Revenue by Gender" cacheId="1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6">
  <location ref="A22:B2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 Total Revenue by Gender" fld="0" baseField="1" baseItem="0"/>
  </dataFields>
  <formats count="13">
    <format dxfId="60">
      <pivotArea outline="0" collapsedLevelsAreSubtotals="1"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fieldPosition="0">
        <references count="1">
          <reference field="1" count="0"/>
        </references>
      </pivotArea>
    </format>
    <format dxfId="50">
      <pivotArea dataOnly="0" labelOnly="1" grandRow="1" outline="0" fieldPosition="0"/>
    </format>
    <format dxfId="49">
      <pivotArea field="1" type="button" dataOnly="0" labelOnly="1" outline="0" axis="axisRow" fieldPosition="0"/>
    </format>
    <format dxfId="48">
      <pivotArea dataOnly="0" labelOnly="1" outline="0" axis="axisValues"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Total Revenue by Gender"/>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BE9E13-F498-4AF3-9559-8A2704FD86A7}" name="Total Revenue by Brand" cacheId="1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7">
  <location ref="A7:B1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Revenue by Brand" fld="0" baseField="1" baseItem="0"/>
  </dataFields>
  <formats count="13">
    <format dxfId="73">
      <pivotArea outline="0" collapsedLevelsAreSubtotals="1" fieldPosition="0"/>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fieldPosition="0">
        <references count="1">
          <reference field="1" count="0"/>
        </references>
      </pivotArea>
    </format>
    <format dxfId="63">
      <pivotArea dataOnly="0" labelOnly="1" grandRow="1" outline="0" fieldPosition="0"/>
    </format>
    <format dxfId="62">
      <pivotArea field="1" type="button" dataOnly="0" labelOnly="1" outline="0" axis="axisRow" fieldPosition="0"/>
    </format>
    <format dxfId="61">
      <pivotArea dataOnly="0" labelOnly="1" outline="0" axis="axisValues"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by Brand"/>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4E1C84-1246-4C07-9691-21FDA14665C9}" name="Total_Brand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Brands" fld="0" subtotal="count" baseField="0" baseItem="4372" numFmtId="1">
      <extLst>
        <ext xmlns:x15="http://schemas.microsoft.com/office/spreadsheetml/2010/11/main" uri="{FABC7310-3BB5-11E1-824E-6D434824019B}">
          <x15:dataField isCountDistinct="1"/>
        </ext>
      </extLst>
    </dataField>
  </dataFields>
  <formats count="8">
    <format dxfId="81">
      <pivotArea outline="0" collapsedLevelsAreSubtotals="1" fieldPosition="0"/>
    </format>
    <format dxfId="80">
      <pivotArea outline="0" fieldPosition="0">
        <references count="1">
          <reference field="4294967294" count="1">
            <x v="0"/>
          </reference>
        </references>
      </pivotArea>
    </format>
    <format dxfId="79">
      <pivotArea type="all" dataOnly="0"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 Brands"/>
    <pivotHierarchy dragToData="1"/>
    <pivotHierarchy dragToData="1"/>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3075B7-200B-48F1-BB8C-4673D045623B}"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 Average Revenue" fld="0" baseField="0" baseItem="4372"/>
  </dataFields>
  <formats count="7">
    <format dxfId="88">
      <pivotArea outline="0" collapsedLevelsAreSubtotals="1" fieldPosition="0"/>
    </format>
    <format dxfId="87">
      <pivotArea type="all" dataOnly="0"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_ Brands"/>
    <pivotHierarchy dragToData="1"/>
    <pivotHierarchy dragToData="1" caption="Customers"/>
    <pivotHierarchy dragToData="1" caption=" Average Revenue"/>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4106A9-9F65-4A92-812A-F7BBA6334DDD}" name="PivotTable1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1:B3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Total Revenue by Sales Channel" fld="0" baseField="1" baseItem="0"/>
  </dataFields>
  <formats count="13">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fieldPosition="0">
        <references count="1">
          <reference field="1" count="0"/>
        </references>
      </pivotArea>
    </format>
    <format dxfId="97">
      <pivotArea dataOnly="0" labelOnly="1" grandRow="1" outline="0" fieldPosition="0"/>
    </format>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axis="axisValues" fieldPosition="0"/>
    </format>
    <format dxfId="90">
      <pivotArea field="1" type="button" dataOnly="0" labelOnly="1" outline="0" axis="axisRow" fieldPosition="0"/>
    </format>
    <format dxfId="89">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by Sales Channel"/>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1C1235-1840-4D4F-BE4C-BE89B2072B09}" name="Units_Sold"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 Units Sold" fld="0" baseField="0" baseItem="4372" numFmtId="3"/>
  </dataFields>
  <formats count="8">
    <format dxfId="109">
      <pivotArea outline="0" collapsedLevelsAreSubtotals="1" fieldPosition="0"/>
    </format>
    <format dxfId="108">
      <pivotArea outline="0" fieldPosition="0">
        <references count="1">
          <reference field="4294967294" count="1">
            <x v="0"/>
          </reference>
        </references>
      </pivotArea>
    </format>
    <format dxfId="107">
      <pivotArea type="all" dataOnly="0"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 Sold"/>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9B0A23-841C-459A-8C4A-E461600325D5}" name="Monthly Revenue Trend" cacheId="1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7">
  <location ref="D7:E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Monthly Revenue Trend" fld="1" baseField="0" baseItem="0"/>
  </dataFields>
  <formats count="15">
    <format dxfId="124">
      <pivotArea outline="0" collapsedLevelsAreSubtotals="1" fieldPosition="0"/>
    </format>
    <format dxfId="123">
      <pivotArea type="all" dataOnly="0" outline="0" fieldPosition="0"/>
    </format>
    <format dxfId="122">
      <pivotArea outline="0" collapsedLevelsAreSubtotals="1" fieldPosition="0"/>
    </format>
    <format dxfId="121">
      <pivotArea dataOnly="0" labelOnly="1" grandRow="1" outline="0" fieldPosition="0"/>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dataOnly="0" labelOnly="1" outline="0" axis="axisValues" fieldPosition="0"/>
    </format>
    <format dxfId="114">
      <pivotArea field="0" dataOnly="0" grandRow="1" axis="axisRow" fieldPosition="0">
        <references count="1">
          <reference field="0" count="0"/>
        </references>
      </pivotArea>
    </format>
    <format dxfId="113">
      <pivotArea collapsedLevelsAreSubtotals="1" fieldPosition="0">
        <references count="1">
          <reference field="0" count="0"/>
        </references>
      </pivotArea>
    </format>
    <format dxfId="112">
      <pivotArea dataOnly="0" labelOnly="1" fieldPosition="0">
        <references count="1">
          <reference field="0" count="0"/>
        </references>
      </pivotArea>
    </format>
    <format dxfId="111">
      <pivotArea field="0" type="button" dataOnly="0" labelOnly="1" outline="0" axis="axisRow" fieldPosition="0"/>
    </format>
    <format dxfId="110">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Monthly Revenue Trend"/>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328898-D1AD-4DCA-A8F2-4E6D340EDB68}"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9:B4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Daily Revenue Trend" fld="1" baseField="0" baseItem="0"/>
  </dataFields>
  <formats count="13">
    <format dxfId="137">
      <pivotArea outline="0" collapsedLevelsAreSubtotals="1" fieldPosition="0"/>
    </format>
    <format dxfId="136">
      <pivotArea type="all" dataOnly="0" outline="0" fieldPosition="0"/>
    </format>
    <format dxfId="135">
      <pivotArea outline="0" collapsedLevelsAreSubtotals="1" fieldPosition="0"/>
    </format>
    <format dxfId="134">
      <pivotArea dataOnly="0" labelOnly="1" fieldPosition="0">
        <references count="1">
          <reference field="0" count="0"/>
        </references>
      </pivotArea>
    </format>
    <format dxfId="133">
      <pivotArea dataOnly="0" labelOnly="1" grandRow="1" outline="0" fieldPosition="0"/>
    </format>
    <format dxfId="132">
      <pivotArea type="all" dataOnly="0" outline="0" fieldPosition="0"/>
    </format>
    <format dxfId="131">
      <pivotArea outline="0" collapsedLevelsAreSubtotals="1"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outline="0" axis="axisValues" fieldPosition="0"/>
    </format>
    <format dxfId="126">
      <pivotArea field="0" type="button" dataOnly="0" labelOnly="1" outline="0" axis="axisRow" fieldPosition="0"/>
    </format>
    <format dxfId="1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Daily Revenue Trend"/>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980D36-59F5-45D5-AE38-C2DBD49BC2E7}" name="Customer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Customers" fld="0" subtotal="count" baseField="0" baseItem="4372" numFmtId="1">
      <extLst>
        <ext xmlns:x15="http://schemas.microsoft.com/office/spreadsheetml/2010/11/main" uri="{FABC7310-3BB5-11E1-824E-6D434824019B}">
          <x15:dataField isCountDistinct="1"/>
        </ext>
      </extLst>
    </dataField>
  </dataFields>
  <formats count="8">
    <format dxfId="145">
      <pivotArea outline="0" collapsedLevelsAreSubtotals="1" fieldPosition="0"/>
    </format>
    <format dxfId="144">
      <pivotArea outline="0" fieldPosition="0">
        <references count="1">
          <reference field="4294967294" count="1">
            <x v="0"/>
          </reference>
        </references>
      </pivotArea>
    </format>
    <format dxfId="143">
      <pivotArea type="all" dataOnly="0"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90C526-66AC-4FF1-8342-C5ECED6B956C}" name="Total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 fld="0" baseField="0" baseItem="4372" numFmtId="164"/>
  </dataFields>
  <formats count="7">
    <format dxfId="152">
      <pivotArea outline="0" collapsedLevelsAreSubtotals="1" fieldPosition="0"/>
    </format>
    <format dxfId="151">
      <pivotArea type="all" dataOnly="0"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12FD2F-0909-4170-94D0-10D7760E3613}" name="Revenue by country" cacheId="1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1">
  <location ref="A15:B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evenue by country" fld="1" baseField="0" baseItem="0"/>
  </dataFields>
  <formats count="13">
    <format dxfId="165">
      <pivotArea outline="0" collapsedLevelsAreSubtotals="1" fieldPosition="0"/>
    </format>
    <format dxfId="164">
      <pivotArea type="all" dataOnly="0" outline="0" fieldPosition="0"/>
    </format>
    <format dxfId="163">
      <pivotArea outline="0" collapsedLevelsAreSubtotals="1" fieldPosition="0"/>
    </format>
    <format dxfId="162">
      <pivotArea field="0" type="button" dataOnly="0" labelOnly="1" outline="0" axis="axisRow" fieldPosition="0"/>
    </format>
    <format dxfId="161">
      <pivotArea dataOnly="0" labelOnly="1" fieldPosition="0">
        <references count="1">
          <reference field="0" count="0"/>
        </references>
      </pivotArea>
    </format>
    <format dxfId="160">
      <pivotArea dataOnly="0" labelOnly="1" grandRow="1" outline="0"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fieldPosition="0">
        <references count="1">
          <reference field="0" count="0"/>
        </references>
      </pivotArea>
    </format>
    <format dxfId="155">
      <pivotArea dataOnly="0" labelOnly="1" grandRow="1" outline="0" fieldPosition="0"/>
    </format>
    <format dxfId="154">
      <pivotArea field="0" type="button" dataOnly="0" labelOnly="1" outline="0" axis="axisRow" fieldPosition="0"/>
    </format>
    <format dxfId="153">
      <pivotArea dataOnly="0" labelOnly="1" outline="0" axis="axisValues" fieldPosition="0"/>
    </format>
  </formats>
  <chartFormats count="1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1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Revenue by country"/>
    <pivotHierarchy dragToData="1" caption=" Units_Sold"/>
    <pivotHierarchy dragToData="1"/>
    <pivotHierarchy dragToData="1" caption="Total_ Brands"/>
    <pivotHierarchy dragToData="1"/>
    <pivotHierarchy dragToData="1" caption="Customers"/>
    <pivotHierarchy dragToData="1" caption="Average Revenue by Country"/>
    <pivotHierarchy dragToData="1"/>
  </pivotHierarchies>
  <pivotTableStyleInfo name="PivotStyleMedium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68EECA-0D28-4201-92FE-F19B2A5A5CBA}" name="Average Revenue by Payment Type" cacheId="1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9">
  <location ref="G13:H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 Average Revenue by Payment Type" fld="1" baseField="0" baseItem="0"/>
  </dataFields>
  <formats count="13">
    <format dxfId="178">
      <pivotArea outline="0" collapsedLevelsAreSubtotals="1" fieldPosition="0"/>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type="all" dataOnly="0" outline="0" fieldPosition="0"/>
    </format>
    <format dxfId="171">
      <pivotArea outline="0" collapsedLevelsAreSubtotals="1" fieldPosition="0"/>
    </format>
    <format dxfId="170">
      <pivotArea dataOnly="0" labelOnly="1" fieldPosition="0">
        <references count="1">
          <reference field="0" count="0"/>
        </references>
      </pivotArea>
    </format>
    <format dxfId="169">
      <pivotArea dataOnly="0" labelOnly="1" grandRow="1" outline="0" fieldPosition="0"/>
    </format>
    <format dxfId="168">
      <pivotArea field="0" type="button" dataOnly="0" labelOnly="1" outline="0" axis="axisRow" fieldPosition="0"/>
    </format>
    <format dxfId="167">
      <pivotArea dataOnly="0" labelOnly="1" outline="0" axis="axisValues" fieldPosition="0"/>
    </format>
    <format dxfId="166">
      <pivotArea dataOnly="0" labelOnly="1" outline="0" axis="axisValues" fieldPosition="0"/>
    </format>
  </format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pivotHierarchy dragToData="1"/>
    <pivotHierarchy dragToData="1"/>
    <pivotHierarchy dragToData="1" caption=" Average Revenue by Payment Type"/>
    <pivotHierarchy dragToData="1"/>
  </pivotHierarchies>
  <pivotTableStyleInfo name="PivotStyleMedium7"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8E757B-F37A-4819-A916-AE0E0D0E33A7}" name="Average_Revenue_by_operating_system"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9:E42"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 Average Revenue by Operating System" fld="0" baseField="1" baseItem="0"/>
  </dataFields>
  <formats count="13">
    <format dxfId="191">
      <pivotArea outline="0" collapsedLevelsAreSubtotals="1" fieldPosition="0"/>
    </format>
    <format dxfId="190">
      <pivotArea type="all" dataOnly="0" outline="0" fieldPosition="0"/>
    </format>
    <format dxfId="189">
      <pivotArea outline="0" collapsedLevelsAreSubtotals="1" fieldPosition="0"/>
    </format>
    <format dxfId="188">
      <pivotArea dataOnly="0" labelOnly="1" fieldPosition="0">
        <references count="1">
          <reference field="1" count="0"/>
        </references>
      </pivotArea>
    </format>
    <format dxfId="187">
      <pivotArea dataOnly="0" labelOnly="1" grandRow="1" outline="0" fieldPosition="0"/>
    </format>
    <format dxfId="186">
      <pivotArea type="all" dataOnly="0" outline="0" fieldPosition="0"/>
    </format>
    <format dxfId="185">
      <pivotArea outline="0" collapsedLevelsAreSubtotals="1"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outline="0" axis="axisValues" fieldPosition="0"/>
    </format>
    <format dxfId="180">
      <pivotArea field="1" type="button" dataOnly="0" labelOnly="1" outline="0" axis="axisRow" fieldPosition="0"/>
    </format>
    <format dxfId="179">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_ Brands"/>
    <pivotHierarchy dragToData="1"/>
    <pivotHierarchy dragToData="1" caption="Customers"/>
    <pivotHierarchy dragToData="1" caption=" Average Revenue by Operating System"/>
    <pivotHierarchy dragToData="1"/>
  </pivotHierarchies>
  <pivotTableStyleInfo name="PivotStyleMedium7"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56B180-1615-4935-8047-571EEC44CCEC}" name="PivotTable1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31:E37"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 Total_Revenue by Model" fld="0" baseField="1" baseItem="0"/>
  </dataFields>
  <formats count="13">
    <format dxfId="204">
      <pivotArea outline="0" collapsedLevelsAreSubtotals="1" fieldPosition="0"/>
    </format>
    <format dxfId="203">
      <pivotArea type="all" dataOnly="0" outline="0" fieldPosition="0"/>
    </format>
    <format dxfId="202">
      <pivotArea outline="0" collapsedLevelsAreSubtotals="1" fieldPosition="0"/>
    </format>
    <format dxfId="201">
      <pivotArea dataOnly="0" labelOnly="1" fieldPosition="0">
        <references count="1">
          <reference field="1" count="0"/>
        </references>
      </pivotArea>
    </format>
    <format dxfId="200">
      <pivotArea dataOnly="0" labelOnly="1" grandRow="1" outline="0" fieldPosition="0"/>
    </format>
    <format dxfId="199">
      <pivotArea type="all" dataOnly="0" outline="0" fieldPosition="0"/>
    </format>
    <format dxfId="198">
      <pivotArea outline="0" collapsedLevelsAreSubtotals="1" fieldPosition="0"/>
    </format>
    <format dxfId="197">
      <pivotArea field="1" type="button" dataOnly="0" labelOnly="1" outline="0" axis="axisRow" fieldPosition="0"/>
    </format>
    <format dxfId="196">
      <pivotArea dataOnly="0" labelOnly="1" fieldPosition="0">
        <references count="1">
          <reference field="1" count="0"/>
        </references>
      </pivotArea>
    </format>
    <format dxfId="195">
      <pivotArea dataOnly="0" labelOnly="1" grandRow="1" outline="0" fieldPosition="0"/>
    </format>
    <format dxfId="194">
      <pivotArea dataOnly="0" labelOnly="1" outline="0" axis="axisValues" fieldPosition="0"/>
    </format>
    <format dxfId="193">
      <pivotArea field="1" type="button" dataOnly="0" labelOnly="1" outline="0" axis="axisRow" fieldPosition="0"/>
    </format>
    <format dxfId="192">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Total_Revenue by Model"/>
    <pivotHierarchy dragToData="1" caption=" Units_Sold"/>
    <pivotHierarchy dragToData="1"/>
    <pivotHierarchy dragToData="1" caption="Total_ Brands"/>
    <pivotHierarchy dragToData="1"/>
    <pivotHierarchy dragToData="1"/>
    <pivotHierarchy dragToData="1"/>
    <pivotHierarchy dragToData="1"/>
  </pivotHierarchies>
  <pivotTableStyleInfo name="PivotStyleMedium7" showRowHeaders="1" showColHeaders="1" showRowStripes="0" showColStripes="0" showLastColumn="1"/>
  <filters count="1">
    <filter fld="1" type="count" id="2" iMeasureHier="2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86436A6-4BB4-4107-9F44-4E81B9A7BE23}" name="PivotTable7"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D47:E5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 Units Sold by Brand" fld="0" baseField="1" baseItem="0" numFmtId="3"/>
  </dataFields>
  <formats count="14">
    <format dxfId="218">
      <pivotArea outline="0" collapsedLevelsAreSubtotals="1" fieldPosition="0"/>
    </format>
    <format dxfId="217">
      <pivotArea outline="0" fieldPosition="0">
        <references count="1">
          <reference field="4294967294" count="1">
            <x v="0"/>
          </reference>
        </references>
      </pivotArea>
    </format>
    <format dxfId="216">
      <pivotArea type="all" dataOnly="0" outline="0" fieldPosition="0"/>
    </format>
    <format dxfId="215">
      <pivotArea outline="0" collapsedLevelsAreSubtotals="1" fieldPosition="0"/>
    </format>
    <format dxfId="214">
      <pivotArea dataOnly="0" labelOnly="1" fieldPosition="0">
        <references count="1">
          <reference field="1" count="0"/>
        </references>
      </pivotArea>
    </format>
    <format dxfId="213">
      <pivotArea dataOnly="0" labelOnly="1" grandRow="1" outline="0" fieldPosition="0"/>
    </format>
    <format dxfId="212">
      <pivotArea type="all" dataOnly="0" outline="0" fieldPosition="0"/>
    </format>
    <format dxfId="211">
      <pivotArea outline="0" collapsedLevelsAreSubtotals="1" fieldPosition="0"/>
    </format>
    <format dxfId="210">
      <pivotArea field="1" type="button" dataOnly="0" labelOnly="1" outline="0" axis="axisRow" fieldPosition="0"/>
    </format>
    <format dxfId="209">
      <pivotArea dataOnly="0" labelOnly="1" fieldPosition="0">
        <references count="1">
          <reference field="1" count="0"/>
        </references>
      </pivotArea>
    </format>
    <format dxfId="208">
      <pivotArea dataOnly="0" labelOnly="1" grandRow="1" outline="0" fieldPosition="0"/>
    </format>
    <format dxfId="207">
      <pivotArea dataOnly="0" labelOnly="1" outline="0" axis="axisValues" fieldPosition="0"/>
    </format>
    <format dxfId="206">
      <pivotArea field="1" type="button" dataOnly="0" labelOnly="1" outline="0" axis="axisRow" fieldPosition="0"/>
    </format>
    <format dxfId="205">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 Sold by Brand"/>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DECFC-E894-41D8-81CA-F9AB6BE412F3}" autoFormatId="16" applyNumberFormats="0" applyBorderFormats="0" applyFontFormats="0" applyPatternFormats="0" applyAlignmentFormats="0" applyWidthHeightFormats="0">
  <queryTableRefresh nextId="22">
    <queryTableFields count="21">
      <queryTableField id="1" name="Transaction_ID" tableColumnId="1"/>
      <queryTableField id="2" name="Transaction_Date" tableColumnId="2"/>
      <queryTableField id="3" name="Month Name" tableColumnId="3"/>
      <queryTableField id="4" name="Day Name" tableColumnId="4"/>
      <queryTableField id="5" name="End of Month" tableColumnId="5"/>
      <queryTableField id="6" name="Mobile_Model" tableColumnId="6"/>
      <queryTableField id="7" name="Brand" tableColumnId="7"/>
      <queryTableField id="8" name="Storage_Size" tableColumnId="8"/>
      <queryTableField id="9" name="Color" tableColumnId="9"/>
      <queryTableField id="10" name="Operating_System" tableColumnId="10"/>
      <queryTableField id="11" name="Price" tableColumnId="11"/>
      <queryTableField id="12" name="Units_Sold" tableColumnId="12"/>
      <queryTableField id="13" name="Total_Revenue" tableColumnId="13"/>
      <queryTableField id="21" dataBound="0" tableColumnId="21"/>
      <queryTableField id="14" name="Sales_Channel" tableColumnId="14"/>
      <queryTableField id="15" name="Payment_Type" tableColumnId="15"/>
      <queryTableField id="16" name="Customer_Age" tableColumnId="16"/>
      <queryTableField id="17" name="Customer_Age_Group" tableColumnId="17"/>
      <queryTableField id="18" name="Customer_Gender" tableColumnId="18"/>
      <queryTableField id="19" name="Country" tableColumnId="19"/>
      <queryTableField id="20" name="City"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System" xr10:uid="{D7B0EA08-19A6-4EDF-B0CC-D288BCBD8B89}" sourceName="[Mobile_Phone_Sales].[Operating_System]">
  <pivotTables>
    <pivotTable tabId="18" name="Average Revenue by Payment Type"/>
    <pivotTable tabId="18" name="Monthly Revenue Trend"/>
    <pivotTable tabId="18" name="Revenue by country"/>
    <pivotTable tabId="18" name="Total Revenue by Brand"/>
    <pivotTable tabId="18" name="Total Revenue by Gender"/>
    <pivotTable tabId="18" name="Units Sold by Sales Channel"/>
  </pivotTables>
  <data>
    <olap pivotCacheId="454680325">
      <levels count="2">
        <level uniqueName="[Mobile_Phone_Sales].[Operating_System].[(All)]" sourceCaption="(All)" count="0"/>
        <level uniqueName="[Mobile_Phone_Sales].[Operating_System].[Operating_System]" sourceCaption="Operating_System" count="2">
          <ranges>
            <range startItem="0">
              <i n="[Mobile_Phone_Sales].[Operating_System].&amp;[Android]" c="Android"/>
              <i n="[Mobile_Phone_Sales].[Operating_System].&amp;[iOS]" c="iOS"/>
            </range>
          </ranges>
        </level>
      </levels>
      <selections count="1">
        <selection n="[Mobile_Phone_Sales].[Operating_Syste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B06C47B-8608-4813-AF92-0F0A98933BF5}" sourceName="[Mobile_Phone_Sales].[Brand]">
  <pivotTables>
    <pivotTable tabId="18" name="Total Revenue by Brand"/>
    <pivotTable tabId="18" name="Monthly Revenue Trend"/>
    <pivotTable tabId="18" name="Units Sold by Sales Channel"/>
    <pivotTable tabId="18" name="Revenue by country"/>
    <pivotTable tabId="18" name="Average Revenue by Payment Type"/>
    <pivotTable tabId="18" name="Total Revenue by Gender"/>
  </pivotTables>
  <data>
    <olap pivotCacheId="454680325">
      <levels count="2">
        <level uniqueName="[Mobile_Phone_Sales].[Brand].[(All)]" sourceCaption="(All)" count="0"/>
        <level uniqueName="[Mobile_Phone_Sales].[Brand].[Brand]" sourceCaption="Brand" count="5">
          <ranges>
            <range startItem="0">
              <i n="[Mobile_Phone_Sales].[Brand].&amp;[Apple]" c="Apple"/>
              <i n="[Mobile_Phone_Sales].[Brand].&amp;[Google]" c="Google"/>
              <i n="[Mobile_Phone_Sales].[Brand].&amp;[OnePlus]" c="OnePlus"/>
              <i n="[Mobile_Phone_Sales].[Brand].&amp;[Samsung]" c="Samsung"/>
              <i n="[Mobile_Phone_Sales].[Brand].&amp;[Xiaomi]" c="Xiaomi"/>
            </range>
          </ranges>
        </level>
      </levels>
      <selections count="1">
        <selection n="[Mobile_Phone_Sales].[Br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61B8D9A-5B08-4905-AD70-107F120FAB2D}" sourceName="[Mobile_Phone_Sales].[Country]">
  <pivotTables>
    <pivotTable tabId="18" name="Total Revenue by Brand"/>
    <pivotTable tabId="18" name="Monthly Revenue Trend"/>
    <pivotTable tabId="18" name="Units Sold by Sales Channel"/>
    <pivotTable tabId="18" name="Revenue by country"/>
    <pivotTable tabId="18" name="Average Revenue by Payment Type"/>
    <pivotTable tabId="18" name="Total Revenue by Gender"/>
  </pivotTables>
  <data>
    <olap pivotCacheId="454680325">
      <levels count="2">
        <level uniqueName="[Mobile_Phone_Sales].[Country].[(All)]" sourceCaption="(All)" count="0"/>
        <level uniqueName="[Mobile_Phone_Sales].[Country].[Country]" sourceCaption="Country" count="4">
          <ranges>
            <range startItem="0">
              <i n="[Mobile_Phone_Sales].[Country].&amp;[Bangladesh]" c="Bangladesh"/>
              <i n="[Mobile_Phone_Sales].[Country].&amp;[India]" c="India"/>
              <i n="[Mobile_Phone_Sales].[Country].&amp;[Pakistan]" c="Pakistan"/>
              <i n="[Mobile_Phone_Sales].[Country].&amp;[Turkey]" c="Turkey"/>
            </range>
          </ranges>
        </level>
      </levels>
      <selections count="1">
        <selection n="[Mobile_Phone_Sal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ng_System 1" xr10:uid="{26CD256C-9253-476E-9B1F-83E254F98901}" cache="Slicer_Operating_System" caption="Operating_System" columnCount="2" level="1" style="Operating System" rowHeight="304800"/>
  <slicer name="Brand 1" xr10:uid="{C70D9E53-2EE5-4101-9C6C-2864E0F8E6F9}" cache="Slicer_Brand" caption="Brand" level="1" style="Operating System" rowHeight="304800"/>
  <slicer name="Country 1" xr10:uid="{51308237-0A9E-48CF-83D8-745868BCB0D9}" cache="Slicer_Country" caption="Country" level="1" style="Operating System"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ng_System" xr10:uid="{2DF3D5CE-5FCA-4917-931F-95B2E0CB1FE4}" cache="Slicer_Operating_System" caption="Operating System" columnCount="2" level="1" style="Operating System" rowHeight="274320"/>
  <slicer name="Brand" xr10:uid="{FAB58698-4B4D-4254-B248-0F01A8B29474}" cache="Slicer_Brand" caption="Brand" level="1" style="Operating System" rowHeight="304800"/>
  <slicer name="Country" xr10:uid="{D4702E21-9541-40F7-8A9A-41E313CA28CD}" cache="Slicer_Country" caption="Country" level="1" style="Operating System" rowHeight="304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EDCA3-36EF-4F28-8ABD-D9CE8FB4DD9A}" name="Mobile_Phone_Sales" displayName="Mobile_Phone_Sales" ref="A1:U304" tableType="queryTable" totalsRowShown="0">
  <autoFilter ref="A1:U304" xr:uid="{A2DEDCA3-36EF-4F28-8ABD-D9CE8FB4DD9A}"/>
  <tableColumns count="21">
    <tableColumn id="1" xr3:uid="{6E7380A2-169E-49C2-AA46-4B9F2490481C}" uniqueName="1" name="Transaction_ID" queryTableFieldId="1" dataDxfId="20"/>
    <tableColumn id="2" xr3:uid="{0E2743E8-5A23-4DC2-B453-80A1FA3C267F}" uniqueName="2" name="Transaction_Date" queryTableFieldId="2" dataDxfId="19"/>
    <tableColumn id="3" xr3:uid="{1A0CC6E4-3157-4C70-8065-06C8699C83D0}" uniqueName="3" name="Month Name" queryTableFieldId="3" dataDxfId="18"/>
    <tableColumn id="4" xr3:uid="{81F077D9-6811-46A6-9158-F68E2EF8498C}" uniqueName="4" name="Day Name" queryTableFieldId="4" dataDxfId="17"/>
    <tableColumn id="5" xr3:uid="{082875DA-71B7-42FC-B2AA-60DACB7336EC}" uniqueName="5" name="End of Month" queryTableFieldId="5" dataDxfId="16"/>
    <tableColumn id="6" xr3:uid="{95BEC861-5F5F-401F-8F9C-CB765F627109}" uniqueName="6" name="Mobile_Model" queryTableFieldId="6" dataDxfId="15"/>
    <tableColumn id="7" xr3:uid="{CD41469C-B14B-4BCF-89C0-A0776969F25D}" uniqueName="7" name="Brand" queryTableFieldId="7" dataDxfId="14"/>
    <tableColumn id="8" xr3:uid="{A6735499-207D-468A-988C-E6C0E8CFFFA4}" uniqueName="8" name="Storage_Size" queryTableFieldId="8" dataDxfId="13"/>
    <tableColumn id="9" xr3:uid="{F150A81C-6E2C-47E5-B065-ED0E4C038F81}" uniqueName="9" name="Color" queryTableFieldId="9" dataDxfId="12"/>
    <tableColumn id="10" xr3:uid="{A4BE0318-AE07-421E-96E4-EF81E2E8EE7F}" uniqueName="10" name="Operating_System" queryTableFieldId="10" dataDxfId="11"/>
    <tableColumn id="11" xr3:uid="{31684DA0-FCC4-4FB1-A5B6-A715B32EF53D}" uniqueName="11" name="Price" queryTableFieldId="11" dataDxfId="10"/>
    <tableColumn id="12" xr3:uid="{1C2B1D38-924A-41D2-8CC2-F8A0749F912C}" uniqueName="12" name="Units_Sold" queryTableFieldId="12" dataDxfId="9"/>
    <tableColumn id="13" xr3:uid="{B4AE02EF-10C4-4E74-A3BE-DC5CF2F85176}" uniqueName="13" name="Total_Revenue" queryTableFieldId="13" dataDxfId="8"/>
    <tableColumn id="21" xr3:uid="{F009140C-2C06-469F-BFEF-DB5F42F2665C}" uniqueName="21" name="Average Revenue" queryTableFieldId="21" dataDxfId="7">
      <calculatedColumnFormula>AVERAGE(Mobile_Phone_Sales[[#This Row],[Total_Revenue]]/Mobile_Phone_Sales[[#This Row],[Units_Sold]])</calculatedColumnFormula>
    </tableColumn>
    <tableColumn id="14" xr3:uid="{B67C0F5E-03CB-4FEE-97D1-73086A6E7940}" uniqueName="14" name="Sales_Channel" queryTableFieldId="14" dataDxfId="6"/>
    <tableColumn id="15" xr3:uid="{0CCA0F26-E828-46F2-879A-A6E7BB818082}" uniqueName="15" name="Payment_Type" queryTableFieldId="15" dataDxfId="5"/>
    <tableColumn id="16" xr3:uid="{486AFA9B-628F-4A4A-881D-795043D8B247}" uniqueName="16" name="Customer_Age" queryTableFieldId="16" dataDxfId="4"/>
    <tableColumn id="17" xr3:uid="{9B64AD48-D3BB-4FD4-AEA4-E233F7423D30}" uniqueName="17" name="Customer_Age_Group" queryTableFieldId="17" dataDxfId="3"/>
    <tableColumn id="18" xr3:uid="{ED9F4C54-05A8-49B5-8045-4C8DBF575DE8}" uniqueName="18" name="Customer_Gender" queryTableFieldId="18" dataDxfId="2"/>
    <tableColumn id="19" xr3:uid="{2A0DA5E1-FA7B-48B5-8827-F6982A05CD61}" uniqueName="19" name="Country" queryTableFieldId="19" dataDxfId="1"/>
    <tableColumn id="20" xr3:uid="{3FC6287F-1176-4AAA-8ACC-2E6AB6B207A6}" uniqueName="20" name="City"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3A662A29-90AC-4A99-87A2-1BD80A14A9C0}" sourceName="[Mobile_Phone_Sales].[Transaction_Date]">
  <pivotTables>
    <pivotTable tabId="18" name="Total Revenue by Brand"/>
    <pivotTable tabId="18" name="Monthly Revenue Trend"/>
    <pivotTable tabId="18" name="Units Sold by Sales Channel"/>
    <pivotTable tabId="18" name="Revenue by country"/>
    <pivotTable tabId="18" name="Average Revenue by Payment Type"/>
    <pivotTable tabId="18" name="Total Revenue by Gender"/>
  </pivotTables>
  <state minimalRefreshVersion="6" lastRefreshVersion="6" pivotCacheId="198420543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1" xr10:uid="{4B76A901-5122-4944-A3DA-593140DCBE41}" cache="Timeline_Transaction_Date" caption="Date" showSelectionLabel="0" showHorizontalScrollbar="0" level="1" selectionLevel="1" scrollPosition="2024-01-01T00:00:00" style="Dat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C62C46D7-D584-44FB-A014-1167663BA3BF}" cache="Timeline_Transaction_Date" caption="Date" showSelectionLabel="0" showHorizontalScrollbar="0" level="1" selectionLevel="1" scrollPosition="2024-01-01T00:00:00" style="Date"/>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7"/>
  <sheetViews>
    <sheetView topLeftCell="L1" workbookViewId="0">
      <selection activeCell="R10" sqref="R10"/>
    </sheetView>
  </sheetViews>
  <sheetFormatPr defaultRowHeight="18" x14ac:dyDescent="0.25"/>
  <cols>
    <col min="1" max="1" width="35.453125" bestFit="1" customWidth="1"/>
    <col min="2" max="2" width="14.453125" bestFit="1" customWidth="1"/>
    <col min="3" max="3" width="11" bestFit="1" customWidth="1"/>
    <col min="4" max="4" width="13.6328125" bestFit="1" customWidth="1"/>
    <col min="6" max="6" width="11.26953125" bestFit="1" customWidth="1"/>
    <col min="8" max="8" width="15.26953125" bestFit="1" customWidth="1"/>
    <col min="9" max="9" width="4.81640625" bestFit="1" customWidth="1"/>
    <col min="10" max="10" width="9.1796875" bestFit="1" customWidth="1"/>
    <col min="11" max="11" width="12.54296875" bestFit="1" customWidth="1"/>
    <col min="12" max="13" width="12.453125" bestFit="1" customWidth="1"/>
    <col min="14" max="14" width="12.54296875" bestFit="1" customWidth="1"/>
    <col min="15" max="15" width="18.54296875" bestFit="1" customWidth="1"/>
    <col min="16" max="16" width="15.26953125" bestFit="1" customWidth="1"/>
    <col min="17" max="17" width="9.90625" bestFit="1" customWidth="1"/>
    <col min="18" max="18" width="10.179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45292</v>
      </c>
      <c r="C2" s="1">
        <v>45322</v>
      </c>
      <c r="D2" t="s">
        <v>21</v>
      </c>
      <c r="E2" t="s">
        <v>22</v>
      </c>
      <c r="F2" t="s">
        <v>23</v>
      </c>
      <c r="G2" t="s">
        <v>24</v>
      </c>
      <c r="H2" t="s">
        <v>25</v>
      </c>
      <c r="I2">
        <v>534</v>
      </c>
      <c r="J2">
        <v>20</v>
      </c>
      <c r="K2">
        <v>10680</v>
      </c>
      <c r="L2" t="s">
        <v>26</v>
      </c>
      <c r="M2" t="s">
        <v>27</v>
      </c>
      <c r="N2">
        <v>40</v>
      </c>
      <c r="O2" t="s">
        <v>28</v>
      </c>
      <c r="P2" t="s">
        <v>29</v>
      </c>
      <c r="Q2" t="s">
        <v>30</v>
      </c>
      <c r="R2" t="s">
        <v>31</v>
      </c>
      <c r="S2">
        <v>31.549700000000001</v>
      </c>
      <c r="T2">
        <v>74.343599999999995</v>
      </c>
    </row>
    <row r="3" spans="1:20" x14ac:dyDescent="0.25">
      <c r="A3" t="s">
        <v>32</v>
      </c>
      <c r="B3" s="1">
        <v>45293</v>
      </c>
      <c r="C3" s="1">
        <v>45322</v>
      </c>
      <c r="D3" t="s">
        <v>21</v>
      </c>
      <c r="E3" t="s">
        <v>22</v>
      </c>
      <c r="F3" t="s">
        <v>33</v>
      </c>
      <c r="G3" t="s">
        <v>34</v>
      </c>
      <c r="H3" t="s">
        <v>25</v>
      </c>
      <c r="I3">
        <v>531</v>
      </c>
      <c r="J3">
        <v>65</v>
      </c>
      <c r="K3">
        <v>34515</v>
      </c>
      <c r="L3" t="s">
        <v>35</v>
      </c>
      <c r="M3" t="s">
        <v>36</v>
      </c>
      <c r="N3">
        <v>55</v>
      </c>
      <c r="O3" t="s">
        <v>37</v>
      </c>
      <c r="P3" t="s">
        <v>38</v>
      </c>
      <c r="Q3" t="s">
        <v>30</v>
      </c>
      <c r="R3" t="s">
        <v>39</v>
      </c>
      <c r="S3">
        <v>30.157499999999999</v>
      </c>
      <c r="T3">
        <v>71.524900000000002</v>
      </c>
    </row>
    <row r="4" spans="1:20" x14ac:dyDescent="0.25">
      <c r="A4" t="s">
        <v>40</v>
      </c>
      <c r="B4" s="1">
        <v>45294</v>
      </c>
      <c r="C4" s="1">
        <v>45322</v>
      </c>
      <c r="D4" t="s">
        <v>41</v>
      </c>
      <c r="E4" t="s">
        <v>42</v>
      </c>
      <c r="F4" t="s">
        <v>33</v>
      </c>
      <c r="G4" t="s">
        <v>43</v>
      </c>
      <c r="H4" t="s">
        <v>25</v>
      </c>
      <c r="I4">
        <v>608</v>
      </c>
      <c r="J4">
        <v>58</v>
      </c>
      <c r="K4">
        <v>35264</v>
      </c>
      <c r="L4" t="s">
        <v>26</v>
      </c>
      <c r="M4" t="s">
        <v>44</v>
      </c>
      <c r="N4">
        <v>40</v>
      </c>
      <c r="O4" t="s">
        <v>28</v>
      </c>
      <c r="P4" t="s">
        <v>45</v>
      </c>
      <c r="Q4" t="s">
        <v>46</v>
      </c>
      <c r="R4" t="s">
        <v>47</v>
      </c>
      <c r="S4">
        <v>22.3569</v>
      </c>
      <c r="T4">
        <v>91.783199999999994</v>
      </c>
    </row>
    <row r="5" spans="1:20" x14ac:dyDescent="0.25">
      <c r="A5" t="s">
        <v>48</v>
      </c>
      <c r="B5" s="1">
        <v>45295</v>
      </c>
      <c r="C5" s="1">
        <v>45322</v>
      </c>
      <c r="D5" t="s">
        <v>49</v>
      </c>
      <c r="E5" t="s">
        <v>50</v>
      </c>
      <c r="F5" t="s">
        <v>33</v>
      </c>
      <c r="G5" t="s">
        <v>43</v>
      </c>
      <c r="H5" t="s">
        <v>25</v>
      </c>
      <c r="I5">
        <v>342</v>
      </c>
      <c r="J5">
        <v>25</v>
      </c>
      <c r="K5">
        <v>8550</v>
      </c>
      <c r="L5" t="s">
        <v>26</v>
      </c>
      <c r="M5" t="s">
        <v>51</v>
      </c>
      <c r="N5">
        <v>32</v>
      </c>
      <c r="O5" t="s">
        <v>52</v>
      </c>
      <c r="P5" t="s">
        <v>45</v>
      </c>
      <c r="Q5" t="s">
        <v>53</v>
      </c>
      <c r="R5" t="s">
        <v>54</v>
      </c>
      <c r="S5">
        <v>40.1828</v>
      </c>
      <c r="T5">
        <v>29.066500000000001</v>
      </c>
    </row>
    <row r="6" spans="1:20" x14ac:dyDescent="0.25">
      <c r="A6" s="2" t="s">
        <v>55</v>
      </c>
      <c r="B6" s="1">
        <v>45296</v>
      </c>
      <c r="C6" s="1">
        <v>45322</v>
      </c>
      <c r="D6" t="s">
        <v>56</v>
      </c>
      <c r="E6" t="s">
        <v>57</v>
      </c>
      <c r="F6" t="s">
        <v>23</v>
      </c>
      <c r="G6" t="s">
        <v>58</v>
      </c>
      <c r="H6" t="s">
        <v>25</v>
      </c>
      <c r="I6">
        <v>1841</v>
      </c>
      <c r="J6">
        <v>57</v>
      </c>
      <c r="K6">
        <v>104937</v>
      </c>
      <c r="L6" t="s">
        <v>26</v>
      </c>
      <c r="M6" t="s">
        <v>27</v>
      </c>
      <c r="N6">
        <v>47</v>
      </c>
      <c r="O6" t="s">
        <v>59</v>
      </c>
      <c r="P6" t="s">
        <v>45</v>
      </c>
      <c r="Q6" t="s">
        <v>46</v>
      </c>
      <c r="R6" t="s">
        <v>60</v>
      </c>
      <c r="S6">
        <v>24.374500000000001</v>
      </c>
      <c r="T6">
        <v>88.604200000000006</v>
      </c>
    </row>
    <row r="7" spans="1:20" x14ac:dyDescent="0.25">
      <c r="A7" t="s">
        <v>61</v>
      </c>
      <c r="B7" s="1">
        <v>45297</v>
      </c>
      <c r="C7" s="1">
        <v>45322</v>
      </c>
      <c r="D7" t="s">
        <v>56</v>
      </c>
      <c r="E7" t="s">
        <v>57</v>
      </c>
      <c r="F7" t="s">
        <v>23</v>
      </c>
      <c r="G7" t="s">
        <v>58</v>
      </c>
      <c r="H7" t="s">
        <v>25</v>
      </c>
      <c r="I7">
        <v>1879</v>
      </c>
      <c r="J7">
        <v>35</v>
      </c>
      <c r="K7">
        <v>65765</v>
      </c>
      <c r="L7" t="s">
        <v>26</v>
      </c>
      <c r="M7" t="s">
        <v>44</v>
      </c>
      <c r="N7">
        <v>27</v>
      </c>
      <c r="O7" t="s">
        <v>52</v>
      </c>
      <c r="P7" t="s">
        <v>45</v>
      </c>
      <c r="Q7" t="s">
        <v>53</v>
      </c>
      <c r="R7" t="s">
        <v>62</v>
      </c>
      <c r="S7">
        <v>36.896900000000002</v>
      </c>
      <c r="T7">
        <v>30.7133</v>
      </c>
    </row>
    <row r="8" spans="1:20" x14ac:dyDescent="0.25">
      <c r="A8" t="s">
        <v>63</v>
      </c>
      <c r="B8" s="1">
        <v>45298</v>
      </c>
      <c r="C8" s="1">
        <v>45322</v>
      </c>
      <c r="D8" t="s">
        <v>64</v>
      </c>
      <c r="E8" t="s">
        <v>50</v>
      </c>
      <c r="F8" t="s">
        <v>33</v>
      </c>
      <c r="G8" t="s">
        <v>24</v>
      </c>
      <c r="H8" t="s">
        <v>25</v>
      </c>
      <c r="I8">
        <v>891</v>
      </c>
      <c r="J8">
        <v>69</v>
      </c>
      <c r="K8">
        <v>61479</v>
      </c>
      <c r="L8" t="s">
        <v>65</v>
      </c>
      <c r="M8" t="s">
        <v>51</v>
      </c>
      <c r="N8">
        <v>64</v>
      </c>
      <c r="O8" t="s">
        <v>66</v>
      </c>
      <c r="P8" t="s">
        <v>38</v>
      </c>
      <c r="Q8" t="s">
        <v>46</v>
      </c>
      <c r="R8" t="s">
        <v>60</v>
      </c>
      <c r="S8">
        <v>24.374500000000001</v>
      </c>
      <c r="T8">
        <v>88.604200000000006</v>
      </c>
    </row>
    <row r="9" spans="1:20" x14ac:dyDescent="0.25">
      <c r="A9" t="s">
        <v>67</v>
      </c>
      <c r="B9" s="1">
        <v>45299</v>
      </c>
      <c r="C9" s="1">
        <v>45322</v>
      </c>
      <c r="D9" t="s">
        <v>41</v>
      </c>
      <c r="E9" t="s">
        <v>42</v>
      </c>
      <c r="F9" t="s">
        <v>33</v>
      </c>
      <c r="G9" t="s">
        <v>24</v>
      </c>
      <c r="H9" t="s">
        <v>25</v>
      </c>
      <c r="I9">
        <v>641</v>
      </c>
      <c r="J9">
        <v>85</v>
      </c>
      <c r="K9">
        <v>54485</v>
      </c>
      <c r="L9" t="s">
        <v>26</v>
      </c>
      <c r="M9" t="s">
        <v>36</v>
      </c>
      <c r="N9">
        <v>32</v>
      </c>
      <c r="O9" t="s">
        <v>52</v>
      </c>
      <c r="P9" t="s">
        <v>45</v>
      </c>
      <c r="Q9" t="s">
        <v>68</v>
      </c>
      <c r="R9" t="s">
        <v>69</v>
      </c>
      <c r="S9">
        <v>18.520399999999999</v>
      </c>
      <c r="T9">
        <v>73.856700000000004</v>
      </c>
    </row>
    <row r="10" spans="1:20" x14ac:dyDescent="0.25">
      <c r="A10" t="s">
        <v>70</v>
      </c>
      <c r="B10" s="1">
        <v>45300</v>
      </c>
      <c r="C10" s="1">
        <v>45322</v>
      </c>
      <c r="D10" t="s">
        <v>21</v>
      </c>
      <c r="E10" t="s">
        <v>22</v>
      </c>
      <c r="F10" t="s">
        <v>71</v>
      </c>
      <c r="G10" t="s">
        <v>72</v>
      </c>
      <c r="H10" t="s">
        <v>25</v>
      </c>
      <c r="I10">
        <v>540</v>
      </c>
      <c r="J10">
        <v>93</v>
      </c>
      <c r="K10">
        <v>50220</v>
      </c>
      <c r="L10" t="s">
        <v>26</v>
      </c>
      <c r="M10" t="s">
        <v>36</v>
      </c>
      <c r="N10">
        <v>33</v>
      </c>
      <c r="O10" t="s">
        <v>52</v>
      </c>
      <c r="P10" t="s">
        <v>45</v>
      </c>
      <c r="Q10" t="s">
        <v>53</v>
      </c>
      <c r="R10" t="s">
        <v>73</v>
      </c>
      <c r="S10">
        <v>41.008200000000002</v>
      </c>
      <c r="T10">
        <v>28.978400000000001</v>
      </c>
    </row>
    <row r="11" spans="1:20" x14ac:dyDescent="0.25">
      <c r="A11" t="s">
        <v>74</v>
      </c>
      <c r="B11" s="1">
        <v>45301</v>
      </c>
      <c r="C11" s="1">
        <v>45322</v>
      </c>
      <c r="D11" t="s">
        <v>75</v>
      </c>
      <c r="E11" t="s">
        <v>50</v>
      </c>
      <c r="F11" t="s">
        <v>71</v>
      </c>
      <c r="G11" t="s">
        <v>34</v>
      </c>
      <c r="H11" t="s">
        <v>25</v>
      </c>
      <c r="I11">
        <v>358</v>
      </c>
      <c r="J11">
        <v>61</v>
      </c>
      <c r="K11">
        <v>21838</v>
      </c>
      <c r="L11" t="s">
        <v>26</v>
      </c>
      <c r="M11" t="s">
        <v>51</v>
      </c>
      <c r="N11">
        <v>48</v>
      </c>
      <c r="O11" t="s">
        <v>59</v>
      </c>
      <c r="P11" t="s">
        <v>45</v>
      </c>
      <c r="Q11" t="s">
        <v>46</v>
      </c>
      <c r="R11" t="s">
        <v>76</v>
      </c>
      <c r="S11">
        <v>23.810300000000002</v>
      </c>
      <c r="T11">
        <v>90.412499999999994</v>
      </c>
    </row>
    <row r="12" spans="1:20" x14ac:dyDescent="0.25">
      <c r="A12" t="s">
        <v>77</v>
      </c>
      <c r="B12" s="1">
        <v>45302</v>
      </c>
      <c r="C12" s="1">
        <v>45322</v>
      </c>
      <c r="D12" t="s">
        <v>78</v>
      </c>
      <c r="E12" t="s">
        <v>22</v>
      </c>
      <c r="F12" t="s">
        <v>23</v>
      </c>
      <c r="G12" t="s">
        <v>72</v>
      </c>
      <c r="H12" t="s">
        <v>25</v>
      </c>
      <c r="I12">
        <v>704</v>
      </c>
      <c r="J12">
        <v>82</v>
      </c>
      <c r="K12">
        <v>57728</v>
      </c>
      <c r="L12" t="s">
        <v>26</v>
      </c>
      <c r="M12" t="s">
        <v>44</v>
      </c>
      <c r="N12">
        <v>48</v>
      </c>
      <c r="O12" t="s">
        <v>59</v>
      </c>
      <c r="P12" t="s">
        <v>38</v>
      </c>
      <c r="Q12" t="s">
        <v>53</v>
      </c>
      <c r="R12" t="s">
        <v>62</v>
      </c>
      <c r="S12">
        <v>36.896900000000002</v>
      </c>
      <c r="T12">
        <v>30.7133</v>
      </c>
    </row>
    <row r="13" spans="1:20" x14ac:dyDescent="0.25">
      <c r="A13" t="s">
        <v>79</v>
      </c>
      <c r="B13" s="1">
        <v>45303</v>
      </c>
      <c r="C13" s="1">
        <v>45322</v>
      </c>
      <c r="D13" t="s">
        <v>80</v>
      </c>
      <c r="E13" t="s">
        <v>42</v>
      </c>
      <c r="F13" t="s">
        <v>23</v>
      </c>
      <c r="G13" t="s">
        <v>58</v>
      </c>
      <c r="H13" t="s">
        <v>25</v>
      </c>
      <c r="I13">
        <v>556</v>
      </c>
      <c r="J13">
        <v>67</v>
      </c>
      <c r="K13">
        <v>37252</v>
      </c>
      <c r="L13" t="s">
        <v>26</v>
      </c>
      <c r="M13" t="s">
        <v>44</v>
      </c>
      <c r="N13">
        <v>27</v>
      </c>
      <c r="O13" t="s">
        <v>52</v>
      </c>
      <c r="P13" t="s">
        <v>29</v>
      </c>
      <c r="Q13" t="s">
        <v>46</v>
      </c>
      <c r="R13" t="s">
        <v>60</v>
      </c>
      <c r="S13">
        <v>24.374500000000001</v>
      </c>
      <c r="T13">
        <v>88.604200000000006</v>
      </c>
    </row>
    <row r="14" spans="1:20" x14ac:dyDescent="0.25">
      <c r="A14" t="s">
        <v>81</v>
      </c>
      <c r="B14" s="1">
        <v>45304</v>
      </c>
      <c r="C14" s="1">
        <v>45322</v>
      </c>
      <c r="D14" t="s">
        <v>82</v>
      </c>
      <c r="E14" t="s">
        <v>50</v>
      </c>
      <c r="F14" t="s">
        <v>71</v>
      </c>
      <c r="G14" t="s">
        <v>24</v>
      </c>
      <c r="H14" t="s">
        <v>25</v>
      </c>
      <c r="I14">
        <v>534</v>
      </c>
      <c r="J14">
        <v>77</v>
      </c>
      <c r="K14">
        <v>41118</v>
      </c>
      <c r="L14" t="s">
        <v>26</v>
      </c>
      <c r="M14" t="s">
        <v>36</v>
      </c>
      <c r="N14">
        <v>60</v>
      </c>
      <c r="O14" t="s">
        <v>66</v>
      </c>
      <c r="P14" t="s">
        <v>45</v>
      </c>
      <c r="Q14" t="s">
        <v>68</v>
      </c>
      <c r="R14" t="s">
        <v>83</v>
      </c>
      <c r="S14">
        <v>28.7041</v>
      </c>
      <c r="T14">
        <v>77.102500000000006</v>
      </c>
    </row>
    <row r="15" spans="1:20" x14ac:dyDescent="0.25">
      <c r="A15" t="s">
        <v>84</v>
      </c>
      <c r="B15" s="1">
        <v>45305</v>
      </c>
      <c r="C15" s="1">
        <v>45322</v>
      </c>
      <c r="D15" t="s">
        <v>85</v>
      </c>
      <c r="E15" t="s">
        <v>22</v>
      </c>
      <c r="F15" t="s">
        <v>33</v>
      </c>
      <c r="G15" t="s">
        <v>34</v>
      </c>
      <c r="H15" t="s">
        <v>25</v>
      </c>
      <c r="I15">
        <v>1053</v>
      </c>
      <c r="J15">
        <v>89</v>
      </c>
      <c r="K15">
        <v>93717</v>
      </c>
      <c r="L15" t="s">
        <v>26</v>
      </c>
      <c r="M15" t="s">
        <v>36</v>
      </c>
      <c r="N15">
        <v>39</v>
      </c>
      <c r="O15" t="s">
        <v>28</v>
      </c>
      <c r="P15" t="s">
        <v>45</v>
      </c>
      <c r="Q15" t="s">
        <v>53</v>
      </c>
      <c r="R15" t="s">
        <v>54</v>
      </c>
      <c r="S15">
        <v>40.1828</v>
      </c>
      <c r="T15">
        <v>29.066500000000001</v>
      </c>
    </row>
    <row r="16" spans="1:20" x14ac:dyDescent="0.25">
      <c r="A16" s="2" t="s">
        <v>86</v>
      </c>
      <c r="B16" s="1">
        <v>45306</v>
      </c>
      <c r="C16" s="1">
        <v>45322</v>
      </c>
      <c r="D16" t="s">
        <v>41</v>
      </c>
      <c r="E16" t="s">
        <v>42</v>
      </c>
      <c r="F16" t="s">
        <v>23</v>
      </c>
      <c r="G16" t="s">
        <v>43</v>
      </c>
      <c r="H16" t="s">
        <v>25</v>
      </c>
      <c r="I16">
        <v>676</v>
      </c>
      <c r="J16">
        <v>33</v>
      </c>
      <c r="K16">
        <v>22308</v>
      </c>
      <c r="L16" t="s">
        <v>65</v>
      </c>
      <c r="M16" t="s">
        <v>36</v>
      </c>
      <c r="N16">
        <v>20</v>
      </c>
      <c r="O16" t="s">
        <v>87</v>
      </c>
      <c r="P16" t="s">
        <v>45</v>
      </c>
      <c r="Q16" t="s">
        <v>68</v>
      </c>
      <c r="R16" t="s">
        <v>88</v>
      </c>
      <c r="S16">
        <v>17.385000000000002</v>
      </c>
      <c r="T16">
        <v>78.486699999999999</v>
      </c>
    </row>
    <row r="17" spans="1:20" x14ac:dyDescent="0.25">
      <c r="A17" t="s">
        <v>89</v>
      </c>
      <c r="B17" s="1">
        <v>45307</v>
      </c>
      <c r="C17" s="1">
        <v>45322</v>
      </c>
      <c r="D17" t="s">
        <v>80</v>
      </c>
      <c r="E17" t="s">
        <v>42</v>
      </c>
      <c r="F17" t="s">
        <v>23</v>
      </c>
      <c r="G17" t="s">
        <v>34</v>
      </c>
      <c r="H17" t="s">
        <v>25</v>
      </c>
      <c r="I17">
        <v>540</v>
      </c>
      <c r="J17">
        <v>44</v>
      </c>
      <c r="K17">
        <v>23760</v>
      </c>
      <c r="L17" t="s">
        <v>35</v>
      </c>
      <c r="M17" t="s">
        <v>51</v>
      </c>
      <c r="N17">
        <v>23</v>
      </c>
      <c r="O17" t="s">
        <v>87</v>
      </c>
      <c r="P17" t="s">
        <v>29</v>
      </c>
      <c r="Q17" t="s">
        <v>46</v>
      </c>
      <c r="R17" t="s">
        <v>60</v>
      </c>
      <c r="S17">
        <v>24.374500000000001</v>
      </c>
      <c r="T17">
        <v>88.604200000000006</v>
      </c>
    </row>
    <row r="18" spans="1:20" x14ac:dyDescent="0.25">
      <c r="A18" t="s">
        <v>90</v>
      </c>
      <c r="B18" s="1">
        <v>45308</v>
      </c>
      <c r="C18" s="1">
        <v>45322</v>
      </c>
      <c r="D18" t="s">
        <v>41</v>
      </c>
      <c r="E18" t="s">
        <v>42</v>
      </c>
      <c r="F18" t="s">
        <v>71</v>
      </c>
      <c r="G18" t="s">
        <v>34</v>
      </c>
      <c r="H18" t="s">
        <v>25</v>
      </c>
      <c r="I18">
        <v>662</v>
      </c>
      <c r="J18">
        <v>71</v>
      </c>
      <c r="K18">
        <v>47002</v>
      </c>
      <c r="L18" t="s">
        <v>26</v>
      </c>
      <c r="M18" t="s">
        <v>51</v>
      </c>
      <c r="N18">
        <v>23</v>
      </c>
      <c r="O18" t="s">
        <v>87</v>
      </c>
      <c r="P18" t="s">
        <v>29</v>
      </c>
      <c r="Q18" t="s">
        <v>68</v>
      </c>
      <c r="R18" t="s">
        <v>91</v>
      </c>
      <c r="S18">
        <v>26.912400000000002</v>
      </c>
      <c r="T18">
        <v>75.787300000000002</v>
      </c>
    </row>
    <row r="19" spans="1:20" x14ac:dyDescent="0.25">
      <c r="A19" t="s">
        <v>92</v>
      </c>
      <c r="B19" s="1">
        <v>45309</v>
      </c>
      <c r="C19" s="1">
        <v>45322</v>
      </c>
      <c r="D19" t="s">
        <v>82</v>
      </c>
      <c r="E19" t="s">
        <v>50</v>
      </c>
      <c r="F19" t="s">
        <v>71</v>
      </c>
      <c r="G19" t="s">
        <v>34</v>
      </c>
      <c r="H19" t="s">
        <v>25</v>
      </c>
      <c r="I19">
        <v>502</v>
      </c>
      <c r="J19">
        <v>68</v>
      </c>
      <c r="K19">
        <v>34136</v>
      </c>
      <c r="L19" t="s">
        <v>35</v>
      </c>
      <c r="M19" t="s">
        <v>44</v>
      </c>
      <c r="N19">
        <v>63</v>
      </c>
      <c r="O19" t="s">
        <v>66</v>
      </c>
      <c r="P19" t="s">
        <v>45</v>
      </c>
      <c r="Q19" t="s">
        <v>53</v>
      </c>
      <c r="R19" t="s">
        <v>54</v>
      </c>
      <c r="S19">
        <v>40.1828</v>
      </c>
      <c r="T19">
        <v>29.066500000000001</v>
      </c>
    </row>
    <row r="20" spans="1:20" x14ac:dyDescent="0.25">
      <c r="A20" t="s">
        <v>93</v>
      </c>
      <c r="B20" s="1">
        <v>45310</v>
      </c>
      <c r="C20" s="1">
        <v>45322</v>
      </c>
      <c r="D20" t="s">
        <v>75</v>
      </c>
      <c r="E20" t="s">
        <v>50</v>
      </c>
      <c r="F20" t="s">
        <v>33</v>
      </c>
      <c r="G20" t="s">
        <v>72</v>
      </c>
      <c r="H20" t="s">
        <v>25</v>
      </c>
      <c r="I20">
        <v>350</v>
      </c>
      <c r="J20">
        <v>8</v>
      </c>
      <c r="K20">
        <v>2800</v>
      </c>
      <c r="L20" t="s">
        <v>26</v>
      </c>
      <c r="M20" t="s">
        <v>27</v>
      </c>
      <c r="N20">
        <v>44</v>
      </c>
      <c r="O20" t="s">
        <v>59</v>
      </c>
      <c r="P20" t="s">
        <v>38</v>
      </c>
      <c r="Q20" t="s">
        <v>53</v>
      </c>
      <c r="R20" t="s">
        <v>94</v>
      </c>
      <c r="S20">
        <v>38.419199999999996</v>
      </c>
      <c r="T20">
        <v>27.128699999999998</v>
      </c>
    </row>
    <row r="21" spans="1:20" x14ac:dyDescent="0.25">
      <c r="A21" t="s">
        <v>95</v>
      </c>
      <c r="B21" s="1">
        <v>45311</v>
      </c>
      <c r="C21" s="1">
        <v>45322</v>
      </c>
      <c r="D21" t="s">
        <v>96</v>
      </c>
      <c r="E21" t="s">
        <v>42</v>
      </c>
      <c r="F21" t="s">
        <v>23</v>
      </c>
      <c r="G21" t="s">
        <v>72</v>
      </c>
      <c r="H21" t="s">
        <v>25</v>
      </c>
      <c r="I21">
        <v>852</v>
      </c>
      <c r="J21">
        <v>75</v>
      </c>
      <c r="K21">
        <v>63900</v>
      </c>
      <c r="L21" t="s">
        <v>26</v>
      </c>
      <c r="M21" t="s">
        <v>36</v>
      </c>
      <c r="N21">
        <v>29</v>
      </c>
      <c r="O21" t="s">
        <v>52</v>
      </c>
      <c r="P21" t="s">
        <v>45</v>
      </c>
      <c r="Q21" t="s">
        <v>53</v>
      </c>
      <c r="R21" t="s">
        <v>73</v>
      </c>
      <c r="S21">
        <v>41.008200000000002</v>
      </c>
      <c r="T21">
        <v>28.978400000000001</v>
      </c>
    </row>
    <row r="22" spans="1:20" x14ac:dyDescent="0.25">
      <c r="A22" t="s">
        <v>97</v>
      </c>
      <c r="B22" s="1">
        <v>45312</v>
      </c>
      <c r="C22" s="1">
        <v>45322</v>
      </c>
      <c r="D22" t="s">
        <v>80</v>
      </c>
      <c r="E22" t="s">
        <v>42</v>
      </c>
      <c r="F22" t="s">
        <v>71</v>
      </c>
      <c r="G22" t="s">
        <v>24</v>
      </c>
      <c r="H22" t="s">
        <v>25</v>
      </c>
      <c r="I22">
        <v>579</v>
      </c>
      <c r="J22">
        <v>90</v>
      </c>
      <c r="K22">
        <v>52110</v>
      </c>
      <c r="L22" t="s">
        <v>26</v>
      </c>
      <c r="M22" t="s">
        <v>51</v>
      </c>
      <c r="N22">
        <v>47</v>
      </c>
      <c r="O22" t="s">
        <v>59</v>
      </c>
      <c r="P22" t="s">
        <v>45</v>
      </c>
      <c r="Q22" t="s">
        <v>68</v>
      </c>
      <c r="R22" t="s">
        <v>98</v>
      </c>
      <c r="S22">
        <v>22.572600000000001</v>
      </c>
      <c r="T22">
        <v>88.363900000000001</v>
      </c>
    </row>
    <row r="23" spans="1:20" x14ac:dyDescent="0.25">
      <c r="A23" t="s">
        <v>99</v>
      </c>
      <c r="B23" s="1">
        <v>45313</v>
      </c>
      <c r="C23" s="1">
        <v>45322</v>
      </c>
      <c r="D23" t="s">
        <v>41</v>
      </c>
      <c r="E23" t="s">
        <v>42</v>
      </c>
      <c r="F23" t="s">
        <v>23</v>
      </c>
      <c r="G23" t="s">
        <v>72</v>
      </c>
      <c r="H23" t="s">
        <v>25</v>
      </c>
      <c r="I23">
        <v>697</v>
      </c>
      <c r="J23">
        <v>87</v>
      </c>
      <c r="K23">
        <v>60639</v>
      </c>
      <c r="L23" t="s">
        <v>65</v>
      </c>
      <c r="M23" t="s">
        <v>44</v>
      </c>
      <c r="N23">
        <v>63</v>
      </c>
      <c r="O23" t="s">
        <v>66</v>
      </c>
      <c r="P23" t="s">
        <v>29</v>
      </c>
      <c r="Q23" t="s">
        <v>53</v>
      </c>
      <c r="R23" t="s">
        <v>100</v>
      </c>
      <c r="S23">
        <v>39.933399999999999</v>
      </c>
      <c r="T23">
        <v>32.859699999999997</v>
      </c>
    </row>
    <row r="24" spans="1:20" x14ac:dyDescent="0.25">
      <c r="A24" t="s">
        <v>101</v>
      </c>
      <c r="B24" s="1">
        <v>45314</v>
      </c>
      <c r="C24" s="1">
        <v>45322</v>
      </c>
      <c r="D24" t="s">
        <v>102</v>
      </c>
      <c r="E24" t="s">
        <v>103</v>
      </c>
      <c r="F24" t="s">
        <v>33</v>
      </c>
      <c r="G24" t="s">
        <v>24</v>
      </c>
      <c r="H24" t="s">
        <v>104</v>
      </c>
      <c r="I24">
        <v>1002</v>
      </c>
      <c r="J24">
        <v>64</v>
      </c>
      <c r="K24">
        <v>64128</v>
      </c>
      <c r="L24" t="s">
        <v>35</v>
      </c>
      <c r="M24" t="s">
        <v>51</v>
      </c>
      <c r="N24">
        <v>57</v>
      </c>
      <c r="O24" t="s">
        <v>37</v>
      </c>
      <c r="P24" t="s">
        <v>38</v>
      </c>
      <c r="Q24" t="s">
        <v>46</v>
      </c>
      <c r="R24" t="s">
        <v>76</v>
      </c>
      <c r="S24">
        <v>23.810300000000002</v>
      </c>
      <c r="T24">
        <v>90.412499999999994</v>
      </c>
    </row>
    <row r="25" spans="1:20" x14ac:dyDescent="0.25">
      <c r="A25" t="s">
        <v>105</v>
      </c>
      <c r="B25" s="1">
        <v>45315</v>
      </c>
      <c r="C25" s="1">
        <v>45322</v>
      </c>
      <c r="D25" t="s">
        <v>64</v>
      </c>
      <c r="E25" t="s">
        <v>50</v>
      </c>
      <c r="F25" t="s">
        <v>23</v>
      </c>
      <c r="G25" t="s">
        <v>58</v>
      </c>
      <c r="H25" t="s">
        <v>25</v>
      </c>
      <c r="I25">
        <v>824</v>
      </c>
      <c r="J25">
        <v>88</v>
      </c>
      <c r="K25">
        <v>72512</v>
      </c>
      <c r="L25" t="s">
        <v>26</v>
      </c>
      <c r="M25" t="s">
        <v>36</v>
      </c>
      <c r="N25">
        <v>42</v>
      </c>
      <c r="O25" t="s">
        <v>59</v>
      </c>
      <c r="P25" t="s">
        <v>45</v>
      </c>
      <c r="Q25" t="s">
        <v>53</v>
      </c>
      <c r="R25" t="s">
        <v>100</v>
      </c>
      <c r="S25">
        <v>39.933399999999999</v>
      </c>
      <c r="T25">
        <v>32.859699999999997</v>
      </c>
    </row>
    <row r="26" spans="1:20" x14ac:dyDescent="0.25">
      <c r="A26" t="s">
        <v>106</v>
      </c>
      <c r="B26" s="1">
        <v>45316</v>
      </c>
      <c r="C26" s="1">
        <v>45322</v>
      </c>
      <c r="D26" t="s">
        <v>80</v>
      </c>
      <c r="E26" t="s">
        <v>42</v>
      </c>
      <c r="F26" t="s">
        <v>71</v>
      </c>
      <c r="G26" t="s">
        <v>43</v>
      </c>
      <c r="H26" t="s">
        <v>25</v>
      </c>
      <c r="I26">
        <v>567</v>
      </c>
      <c r="J26">
        <v>92</v>
      </c>
      <c r="K26">
        <v>52164</v>
      </c>
      <c r="L26" t="s">
        <v>26</v>
      </c>
      <c r="M26" t="s">
        <v>36</v>
      </c>
      <c r="N26">
        <v>31</v>
      </c>
      <c r="O26" t="s">
        <v>52</v>
      </c>
      <c r="P26" t="s">
        <v>29</v>
      </c>
      <c r="Q26" t="s">
        <v>53</v>
      </c>
      <c r="R26" t="s">
        <v>54</v>
      </c>
      <c r="S26">
        <v>40.1828</v>
      </c>
      <c r="T26">
        <v>29.066500000000001</v>
      </c>
    </row>
    <row r="27" spans="1:20" x14ac:dyDescent="0.25">
      <c r="A27" t="s">
        <v>107</v>
      </c>
      <c r="B27" s="1">
        <v>45317</v>
      </c>
      <c r="C27" s="1">
        <v>45322</v>
      </c>
      <c r="D27" t="s">
        <v>41</v>
      </c>
      <c r="E27" t="s">
        <v>42</v>
      </c>
      <c r="F27" t="s">
        <v>33</v>
      </c>
      <c r="G27" t="s">
        <v>34</v>
      </c>
      <c r="H27" t="s">
        <v>25</v>
      </c>
      <c r="I27">
        <v>672</v>
      </c>
      <c r="J27">
        <v>93</v>
      </c>
      <c r="K27">
        <v>62496</v>
      </c>
      <c r="L27" t="s">
        <v>26</v>
      </c>
      <c r="M27" t="s">
        <v>51</v>
      </c>
      <c r="N27">
        <v>42</v>
      </c>
      <c r="O27" t="s">
        <v>59</v>
      </c>
      <c r="P27" t="s">
        <v>29</v>
      </c>
      <c r="Q27" t="s">
        <v>53</v>
      </c>
      <c r="R27" t="s">
        <v>100</v>
      </c>
      <c r="S27">
        <v>39.933399999999999</v>
      </c>
      <c r="T27">
        <v>32.859699999999997</v>
      </c>
    </row>
    <row r="28" spans="1:20" x14ac:dyDescent="0.25">
      <c r="A28" t="s">
        <v>108</v>
      </c>
      <c r="B28" s="1">
        <v>45318</v>
      </c>
      <c r="C28" s="1">
        <v>45322</v>
      </c>
      <c r="D28" t="s">
        <v>102</v>
      </c>
      <c r="E28" t="s">
        <v>103</v>
      </c>
      <c r="F28" t="s">
        <v>33</v>
      </c>
      <c r="G28" t="s">
        <v>24</v>
      </c>
      <c r="H28" t="s">
        <v>104</v>
      </c>
      <c r="I28">
        <v>1059</v>
      </c>
      <c r="J28">
        <v>54</v>
      </c>
      <c r="K28">
        <v>57186</v>
      </c>
      <c r="L28" t="s">
        <v>65</v>
      </c>
      <c r="M28" t="s">
        <v>44</v>
      </c>
      <c r="N28">
        <v>24</v>
      </c>
      <c r="O28" t="s">
        <v>87</v>
      </c>
      <c r="P28" t="s">
        <v>45</v>
      </c>
      <c r="Q28" t="s">
        <v>53</v>
      </c>
      <c r="R28" t="s">
        <v>54</v>
      </c>
      <c r="S28">
        <v>40.1828</v>
      </c>
      <c r="T28">
        <v>29.066500000000001</v>
      </c>
    </row>
    <row r="29" spans="1:20" x14ac:dyDescent="0.25">
      <c r="A29" t="s">
        <v>109</v>
      </c>
      <c r="B29" s="1">
        <v>45319</v>
      </c>
      <c r="C29" s="1">
        <v>45322</v>
      </c>
      <c r="D29" t="s">
        <v>82</v>
      </c>
      <c r="E29" t="s">
        <v>50</v>
      </c>
      <c r="F29" t="s">
        <v>33</v>
      </c>
      <c r="G29" t="s">
        <v>24</v>
      </c>
      <c r="H29" t="s">
        <v>25</v>
      </c>
      <c r="I29">
        <v>533</v>
      </c>
      <c r="J29">
        <v>13</v>
      </c>
      <c r="K29">
        <v>6929</v>
      </c>
      <c r="L29" t="s">
        <v>65</v>
      </c>
      <c r="M29" t="s">
        <v>36</v>
      </c>
      <c r="N29">
        <v>22</v>
      </c>
      <c r="O29" t="s">
        <v>87</v>
      </c>
      <c r="P29" t="s">
        <v>45</v>
      </c>
      <c r="Q29" t="s">
        <v>68</v>
      </c>
      <c r="R29" t="s">
        <v>83</v>
      </c>
      <c r="S29">
        <v>28.7041</v>
      </c>
      <c r="T29">
        <v>77.102500000000006</v>
      </c>
    </row>
    <row r="30" spans="1:20" x14ac:dyDescent="0.25">
      <c r="A30" t="s">
        <v>110</v>
      </c>
      <c r="B30" s="1">
        <v>45320</v>
      </c>
      <c r="C30" s="1">
        <v>45322</v>
      </c>
      <c r="D30" t="s">
        <v>78</v>
      </c>
      <c r="E30" t="s">
        <v>22</v>
      </c>
      <c r="F30" t="s">
        <v>23</v>
      </c>
      <c r="G30" t="s">
        <v>24</v>
      </c>
      <c r="H30" t="s">
        <v>25</v>
      </c>
      <c r="I30">
        <v>737</v>
      </c>
      <c r="J30">
        <v>54</v>
      </c>
      <c r="K30">
        <v>39798</v>
      </c>
      <c r="L30" t="s">
        <v>26</v>
      </c>
      <c r="M30" t="s">
        <v>27</v>
      </c>
      <c r="N30">
        <v>26</v>
      </c>
      <c r="O30" t="s">
        <v>52</v>
      </c>
      <c r="P30" t="s">
        <v>45</v>
      </c>
      <c r="Q30" t="s">
        <v>46</v>
      </c>
      <c r="R30" t="s">
        <v>111</v>
      </c>
      <c r="S30">
        <v>22.845600000000001</v>
      </c>
      <c r="T30">
        <v>89.540300000000002</v>
      </c>
    </row>
    <row r="31" spans="1:20" x14ac:dyDescent="0.25">
      <c r="A31" t="s">
        <v>112</v>
      </c>
      <c r="B31" s="1">
        <v>45321</v>
      </c>
      <c r="C31" s="1">
        <v>45322</v>
      </c>
      <c r="D31" t="s">
        <v>41</v>
      </c>
      <c r="E31" t="s">
        <v>42</v>
      </c>
      <c r="F31" t="s">
        <v>33</v>
      </c>
      <c r="G31" t="s">
        <v>58</v>
      </c>
      <c r="H31" t="s">
        <v>25</v>
      </c>
      <c r="I31">
        <v>699</v>
      </c>
      <c r="J31">
        <v>39</v>
      </c>
      <c r="K31">
        <v>27261</v>
      </c>
      <c r="L31" t="s">
        <v>26</v>
      </c>
      <c r="M31" t="s">
        <v>36</v>
      </c>
      <c r="N31">
        <v>29</v>
      </c>
      <c r="O31" t="s">
        <v>52</v>
      </c>
      <c r="P31" t="s">
        <v>45</v>
      </c>
      <c r="Q31" t="s">
        <v>53</v>
      </c>
      <c r="R31" t="s">
        <v>62</v>
      </c>
      <c r="S31">
        <v>36.896900000000002</v>
      </c>
      <c r="T31">
        <v>30.7133</v>
      </c>
    </row>
    <row r="32" spans="1:20" x14ac:dyDescent="0.25">
      <c r="A32" t="s">
        <v>113</v>
      </c>
      <c r="B32" s="1">
        <v>45322</v>
      </c>
      <c r="C32" s="1">
        <v>45322</v>
      </c>
      <c r="D32" t="s">
        <v>21</v>
      </c>
      <c r="E32" t="s">
        <v>22</v>
      </c>
      <c r="F32" t="s">
        <v>71</v>
      </c>
      <c r="G32" t="s">
        <v>72</v>
      </c>
      <c r="H32" t="s">
        <v>25</v>
      </c>
      <c r="I32">
        <v>533</v>
      </c>
      <c r="J32">
        <v>90</v>
      </c>
      <c r="K32">
        <v>47970</v>
      </c>
      <c r="L32" t="s">
        <v>35</v>
      </c>
      <c r="M32" t="s">
        <v>44</v>
      </c>
      <c r="N32">
        <v>51</v>
      </c>
      <c r="O32" t="s">
        <v>37</v>
      </c>
      <c r="P32" t="s">
        <v>45</v>
      </c>
      <c r="Q32" t="s">
        <v>53</v>
      </c>
      <c r="R32" t="s">
        <v>94</v>
      </c>
      <c r="S32">
        <v>38.419199999999996</v>
      </c>
      <c r="T32">
        <v>27.128699999999998</v>
      </c>
    </row>
    <row r="33" spans="1:20" x14ac:dyDescent="0.25">
      <c r="A33" t="s">
        <v>114</v>
      </c>
      <c r="B33" s="1">
        <v>45323</v>
      </c>
      <c r="C33" s="1">
        <v>45351</v>
      </c>
      <c r="D33" t="s">
        <v>56</v>
      </c>
      <c r="E33" t="s">
        <v>57</v>
      </c>
      <c r="F33" t="s">
        <v>33</v>
      </c>
      <c r="G33" t="s">
        <v>72</v>
      </c>
      <c r="H33" t="s">
        <v>25</v>
      </c>
      <c r="I33">
        <v>1834</v>
      </c>
      <c r="J33">
        <v>28</v>
      </c>
      <c r="K33">
        <v>51352</v>
      </c>
      <c r="L33" t="s">
        <v>35</v>
      </c>
      <c r="M33" t="s">
        <v>51</v>
      </c>
      <c r="N33">
        <v>32</v>
      </c>
      <c r="O33" t="s">
        <v>52</v>
      </c>
      <c r="P33" t="s">
        <v>38</v>
      </c>
      <c r="Q33" t="s">
        <v>53</v>
      </c>
      <c r="R33" t="s">
        <v>73</v>
      </c>
      <c r="S33">
        <v>41.008200000000002</v>
      </c>
      <c r="T33">
        <v>28.978400000000001</v>
      </c>
    </row>
    <row r="34" spans="1:20" x14ac:dyDescent="0.25">
      <c r="A34" t="s">
        <v>115</v>
      </c>
      <c r="B34" s="1">
        <v>45324</v>
      </c>
      <c r="C34" s="1">
        <v>45351</v>
      </c>
      <c r="D34" t="s">
        <v>116</v>
      </c>
      <c r="E34" t="s">
        <v>57</v>
      </c>
      <c r="F34" t="s">
        <v>23</v>
      </c>
      <c r="G34" t="s">
        <v>72</v>
      </c>
      <c r="H34" t="s">
        <v>25</v>
      </c>
      <c r="I34">
        <v>1293</v>
      </c>
      <c r="J34">
        <v>2</v>
      </c>
      <c r="K34">
        <v>2586</v>
      </c>
      <c r="L34" t="s">
        <v>65</v>
      </c>
      <c r="M34" t="s">
        <v>36</v>
      </c>
      <c r="N34">
        <v>36</v>
      </c>
      <c r="O34" t="s">
        <v>28</v>
      </c>
      <c r="P34" t="s">
        <v>45</v>
      </c>
      <c r="Q34" t="s">
        <v>68</v>
      </c>
      <c r="R34" t="s">
        <v>69</v>
      </c>
      <c r="S34">
        <v>18.520399999999999</v>
      </c>
      <c r="T34">
        <v>73.856700000000004</v>
      </c>
    </row>
    <row r="35" spans="1:20" x14ac:dyDescent="0.25">
      <c r="A35" t="s">
        <v>117</v>
      </c>
      <c r="B35" s="1">
        <v>45325</v>
      </c>
      <c r="C35" s="1">
        <v>45351</v>
      </c>
      <c r="D35" t="s">
        <v>102</v>
      </c>
      <c r="E35" t="s">
        <v>103</v>
      </c>
      <c r="F35" t="s">
        <v>71</v>
      </c>
      <c r="G35" t="s">
        <v>43</v>
      </c>
      <c r="H35" t="s">
        <v>104</v>
      </c>
      <c r="I35">
        <v>1021</v>
      </c>
      <c r="J35">
        <v>94</v>
      </c>
      <c r="K35">
        <v>95974</v>
      </c>
      <c r="L35" t="s">
        <v>65</v>
      </c>
      <c r="M35" t="s">
        <v>36</v>
      </c>
      <c r="N35">
        <v>55</v>
      </c>
      <c r="O35" t="s">
        <v>37</v>
      </c>
      <c r="P35" t="s">
        <v>45</v>
      </c>
      <c r="Q35" t="s">
        <v>46</v>
      </c>
      <c r="R35" t="s">
        <v>118</v>
      </c>
      <c r="S35">
        <v>24.8949</v>
      </c>
      <c r="T35">
        <v>91.868700000000004</v>
      </c>
    </row>
    <row r="36" spans="1:20" x14ac:dyDescent="0.25">
      <c r="A36" t="s">
        <v>119</v>
      </c>
      <c r="B36" s="1">
        <v>45326</v>
      </c>
      <c r="C36" s="1">
        <v>45351</v>
      </c>
      <c r="D36" t="s">
        <v>120</v>
      </c>
      <c r="E36" t="s">
        <v>57</v>
      </c>
      <c r="F36" t="s">
        <v>23</v>
      </c>
      <c r="G36" t="s">
        <v>43</v>
      </c>
      <c r="H36" t="s">
        <v>25</v>
      </c>
      <c r="I36">
        <v>362</v>
      </c>
      <c r="J36">
        <v>52</v>
      </c>
      <c r="K36">
        <v>18824</v>
      </c>
      <c r="L36" t="s">
        <v>65</v>
      </c>
      <c r="M36" t="s">
        <v>36</v>
      </c>
      <c r="N36">
        <v>30</v>
      </c>
      <c r="O36" t="s">
        <v>52</v>
      </c>
      <c r="P36" t="s">
        <v>29</v>
      </c>
      <c r="Q36" t="s">
        <v>68</v>
      </c>
      <c r="R36" t="s">
        <v>121</v>
      </c>
      <c r="S36">
        <v>12.9716</v>
      </c>
      <c r="T36">
        <v>77.5946</v>
      </c>
    </row>
    <row r="37" spans="1:20" x14ac:dyDescent="0.25">
      <c r="A37" t="s">
        <v>122</v>
      </c>
      <c r="B37" s="1">
        <v>45327</v>
      </c>
      <c r="C37" s="1">
        <v>45351</v>
      </c>
      <c r="D37" t="s">
        <v>116</v>
      </c>
      <c r="E37" t="s">
        <v>57</v>
      </c>
      <c r="F37" t="s">
        <v>23</v>
      </c>
      <c r="G37" t="s">
        <v>43</v>
      </c>
      <c r="H37" t="s">
        <v>25</v>
      </c>
      <c r="I37">
        <v>1269</v>
      </c>
      <c r="J37">
        <v>78</v>
      </c>
      <c r="K37">
        <v>98982</v>
      </c>
      <c r="L37" t="s">
        <v>35</v>
      </c>
      <c r="M37" t="s">
        <v>27</v>
      </c>
      <c r="N37">
        <v>47</v>
      </c>
      <c r="O37" t="s">
        <v>59</v>
      </c>
      <c r="P37" t="s">
        <v>45</v>
      </c>
      <c r="Q37" t="s">
        <v>68</v>
      </c>
      <c r="R37" t="s">
        <v>69</v>
      </c>
      <c r="S37">
        <v>18.520399999999999</v>
      </c>
      <c r="T37">
        <v>73.856700000000004</v>
      </c>
    </row>
    <row r="38" spans="1:20" x14ac:dyDescent="0.25">
      <c r="A38" t="s">
        <v>123</v>
      </c>
      <c r="B38" s="1">
        <v>45328</v>
      </c>
      <c r="C38" s="1">
        <v>45351</v>
      </c>
      <c r="D38" t="s">
        <v>96</v>
      </c>
      <c r="E38" t="s">
        <v>42</v>
      </c>
      <c r="F38" t="s">
        <v>23</v>
      </c>
      <c r="G38" t="s">
        <v>24</v>
      </c>
      <c r="H38" t="s">
        <v>25</v>
      </c>
      <c r="I38">
        <v>854</v>
      </c>
      <c r="J38">
        <v>37</v>
      </c>
      <c r="K38">
        <v>31598</v>
      </c>
      <c r="L38" t="s">
        <v>26</v>
      </c>
      <c r="M38" t="s">
        <v>51</v>
      </c>
      <c r="N38">
        <v>44</v>
      </c>
      <c r="O38" t="s">
        <v>59</v>
      </c>
      <c r="P38" t="s">
        <v>29</v>
      </c>
      <c r="Q38" t="s">
        <v>53</v>
      </c>
      <c r="R38" t="s">
        <v>94</v>
      </c>
      <c r="S38">
        <v>38.419199999999996</v>
      </c>
      <c r="T38">
        <v>27.128699999999998</v>
      </c>
    </row>
    <row r="39" spans="1:20" x14ac:dyDescent="0.25">
      <c r="A39" t="s">
        <v>124</v>
      </c>
      <c r="B39" s="1">
        <v>45329</v>
      </c>
      <c r="C39" s="1">
        <v>45351</v>
      </c>
      <c r="D39" t="s">
        <v>120</v>
      </c>
      <c r="E39" t="s">
        <v>57</v>
      </c>
      <c r="F39" t="s">
        <v>71</v>
      </c>
      <c r="G39" t="s">
        <v>24</v>
      </c>
      <c r="H39" t="s">
        <v>25</v>
      </c>
      <c r="I39">
        <v>367</v>
      </c>
      <c r="J39">
        <v>51</v>
      </c>
      <c r="K39">
        <v>18717</v>
      </c>
      <c r="L39" t="s">
        <v>26</v>
      </c>
      <c r="M39" t="s">
        <v>44</v>
      </c>
      <c r="N39">
        <v>18</v>
      </c>
      <c r="O39" t="s">
        <v>87</v>
      </c>
      <c r="P39" t="s">
        <v>29</v>
      </c>
      <c r="Q39" t="s">
        <v>68</v>
      </c>
      <c r="R39" t="s">
        <v>69</v>
      </c>
      <c r="S39">
        <v>18.520399999999999</v>
      </c>
      <c r="T39">
        <v>73.856700000000004</v>
      </c>
    </row>
    <row r="40" spans="1:20" x14ac:dyDescent="0.25">
      <c r="A40" s="2" t="s">
        <v>125</v>
      </c>
      <c r="B40" s="1">
        <v>45330</v>
      </c>
      <c r="C40" s="1">
        <v>45351</v>
      </c>
      <c r="D40" t="s">
        <v>126</v>
      </c>
      <c r="E40" t="s">
        <v>103</v>
      </c>
      <c r="F40" t="s">
        <v>23</v>
      </c>
      <c r="G40" t="s">
        <v>34</v>
      </c>
      <c r="H40" t="s">
        <v>104</v>
      </c>
      <c r="I40">
        <v>823</v>
      </c>
      <c r="J40">
        <v>86</v>
      </c>
      <c r="K40">
        <v>70778</v>
      </c>
      <c r="L40" t="s">
        <v>65</v>
      </c>
      <c r="M40" t="s">
        <v>36</v>
      </c>
      <c r="N40">
        <v>28</v>
      </c>
      <c r="O40" t="s">
        <v>52</v>
      </c>
      <c r="P40" t="s">
        <v>38</v>
      </c>
      <c r="Q40" t="s">
        <v>68</v>
      </c>
      <c r="R40" t="s">
        <v>127</v>
      </c>
      <c r="S40">
        <v>26.846699999999998</v>
      </c>
      <c r="T40">
        <v>80.946200000000005</v>
      </c>
    </row>
    <row r="41" spans="1:20" x14ac:dyDescent="0.25">
      <c r="A41" t="s">
        <v>112</v>
      </c>
      <c r="B41" s="1">
        <v>45331</v>
      </c>
      <c r="C41" s="1">
        <v>45351</v>
      </c>
      <c r="D41" t="s">
        <v>41</v>
      </c>
      <c r="E41" t="s">
        <v>42</v>
      </c>
      <c r="F41" t="s">
        <v>33</v>
      </c>
      <c r="G41" t="s">
        <v>58</v>
      </c>
      <c r="H41" t="s">
        <v>25</v>
      </c>
      <c r="I41">
        <v>699</v>
      </c>
      <c r="J41">
        <v>39</v>
      </c>
      <c r="K41">
        <v>27261</v>
      </c>
      <c r="L41" t="s">
        <v>26</v>
      </c>
      <c r="M41" t="s">
        <v>36</v>
      </c>
      <c r="N41">
        <v>29</v>
      </c>
      <c r="O41" t="s">
        <v>52</v>
      </c>
      <c r="P41" t="s">
        <v>45</v>
      </c>
      <c r="Q41" t="s">
        <v>53</v>
      </c>
      <c r="R41" t="s">
        <v>62</v>
      </c>
      <c r="S41">
        <v>36.896900000000002</v>
      </c>
      <c r="T41">
        <v>30.7133</v>
      </c>
    </row>
    <row r="42" spans="1:20" x14ac:dyDescent="0.25">
      <c r="A42" t="s">
        <v>128</v>
      </c>
      <c r="B42" s="1">
        <v>45332</v>
      </c>
      <c r="C42" s="1">
        <v>45351</v>
      </c>
      <c r="D42" t="s">
        <v>129</v>
      </c>
      <c r="E42" t="s">
        <v>103</v>
      </c>
      <c r="F42" t="s">
        <v>71</v>
      </c>
      <c r="G42" t="s">
        <v>34</v>
      </c>
      <c r="H42" t="s">
        <v>104</v>
      </c>
      <c r="I42">
        <v>1134</v>
      </c>
      <c r="J42">
        <v>54</v>
      </c>
      <c r="K42">
        <v>61236</v>
      </c>
      <c r="L42" t="s">
        <v>26</v>
      </c>
      <c r="M42" t="s">
        <v>44</v>
      </c>
      <c r="N42">
        <v>27</v>
      </c>
      <c r="O42" t="s">
        <v>52</v>
      </c>
      <c r="P42" t="s">
        <v>29</v>
      </c>
      <c r="Q42" t="s">
        <v>53</v>
      </c>
      <c r="R42" t="s">
        <v>54</v>
      </c>
      <c r="S42">
        <v>40.1828</v>
      </c>
      <c r="T42">
        <v>29.066500000000001</v>
      </c>
    </row>
    <row r="43" spans="1:20" x14ac:dyDescent="0.25">
      <c r="A43" t="s">
        <v>130</v>
      </c>
      <c r="B43" s="1">
        <v>45333</v>
      </c>
      <c r="C43" s="1">
        <v>45351</v>
      </c>
      <c r="D43" t="s">
        <v>131</v>
      </c>
      <c r="E43" t="s">
        <v>103</v>
      </c>
      <c r="F43" t="s">
        <v>33</v>
      </c>
      <c r="G43" t="s">
        <v>58</v>
      </c>
      <c r="H43" t="s">
        <v>104</v>
      </c>
      <c r="I43">
        <v>885</v>
      </c>
      <c r="J43">
        <v>29</v>
      </c>
      <c r="K43">
        <v>25665</v>
      </c>
      <c r="L43" t="s">
        <v>65</v>
      </c>
      <c r="M43" t="s">
        <v>27</v>
      </c>
      <c r="N43">
        <v>53</v>
      </c>
      <c r="O43" t="s">
        <v>37</v>
      </c>
      <c r="P43" t="s">
        <v>29</v>
      </c>
      <c r="Q43" t="s">
        <v>68</v>
      </c>
      <c r="R43" t="s">
        <v>132</v>
      </c>
      <c r="S43">
        <v>13.082700000000001</v>
      </c>
      <c r="T43">
        <v>80.270700000000005</v>
      </c>
    </row>
    <row r="44" spans="1:20" x14ac:dyDescent="0.25">
      <c r="A44" s="2" t="s">
        <v>133</v>
      </c>
      <c r="B44" s="1">
        <v>45334</v>
      </c>
      <c r="C44" s="1">
        <v>45351</v>
      </c>
      <c r="D44" t="s">
        <v>75</v>
      </c>
      <c r="E44" t="s">
        <v>50</v>
      </c>
      <c r="F44" t="s">
        <v>71</v>
      </c>
      <c r="G44" t="s">
        <v>58</v>
      </c>
      <c r="H44" t="s">
        <v>25</v>
      </c>
      <c r="I44">
        <v>358</v>
      </c>
      <c r="J44">
        <v>5</v>
      </c>
      <c r="K44">
        <v>1790</v>
      </c>
      <c r="L44" t="s">
        <v>65</v>
      </c>
      <c r="M44" t="s">
        <v>27</v>
      </c>
      <c r="N44">
        <v>46</v>
      </c>
      <c r="O44" t="s">
        <v>59</v>
      </c>
      <c r="P44" t="s">
        <v>29</v>
      </c>
      <c r="Q44" t="s">
        <v>53</v>
      </c>
      <c r="R44" t="s">
        <v>94</v>
      </c>
      <c r="S44">
        <v>38.419199999999996</v>
      </c>
      <c r="T44">
        <v>27.128699999999998</v>
      </c>
    </row>
    <row r="45" spans="1:20" x14ac:dyDescent="0.25">
      <c r="A45" t="s">
        <v>134</v>
      </c>
      <c r="B45" s="1">
        <v>45335</v>
      </c>
      <c r="C45" s="1">
        <v>45351</v>
      </c>
      <c r="D45" t="s">
        <v>56</v>
      </c>
      <c r="E45" t="s">
        <v>57</v>
      </c>
      <c r="F45" t="s">
        <v>23</v>
      </c>
      <c r="G45" t="s">
        <v>43</v>
      </c>
      <c r="H45" t="s">
        <v>25</v>
      </c>
      <c r="I45">
        <v>1845</v>
      </c>
      <c r="J45">
        <v>81</v>
      </c>
      <c r="K45">
        <v>149445</v>
      </c>
      <c r="L45" t="s">
        <v>26</v>
      </c>
      <c r="M45" t="s">
        <v>44</v>
      </c>
      <c r="N45">
        <v>27</v>
      </c>
      <c r="O45" t="s">
        <v>52</v>
      </c>
      <c r="P45" t="s">
        <v>45</v>
      </c>
      <c r="Q45" t="s">
        <v>53</v>
      </c>
      <c r="R45" t="s">
        <v>54</v>
      </c>
      <c r="S45">
        <v>40.1828</v>
      </c>
      <c r="T45">
        <v>29.066500000000001</v>
      </c>
    </row>
    <row r="46" spans="1:20" x14ac:dyDescent="0.25">
      <c r="A46" t="s">
        <v>135</v>
      </c>
      <c r="B46" s="1">
        <v>45336</v>
      </c>
      <c r="C46" s="1">
        <v>45351</v>
      </c>
      <c r="D46" t="s">
        <v>116</v>
      </c>
      <c r="E46" t="s">
        <v>57</v>
      </c>
      <c r="F46" t="s">
        <v>71</v>
      </c>
      <c r="G46" t="s">
        <v>34</v>
      </c>
      <c r="H46" t="s">
        <v>25</v>
      </c>
      <c r="I46">
        <v>1277</v>
      </c>
      <c r="J46">
        <v>6</v>
      </c>
      <c r="K46">
        <v>7662</v>
      </c>
      <c r="L46" t="s">
        <v>35</v>
      </c>
      <c r="M46" t="s">
        <v>44</v>
      </c>
      <c r="N46">
        <v>40</v>
      </c>
      <c r="O46" t="s">
        <v>28</v>
      </c>
      <c r="P46" t="s">
        <v>45</v>
      </c>
      <c r="Q46" t="s">
        <v>53</v>
      </c>
      <c r="R46" t="s">
        <v>54</v>
      </c>
      <c r="S46">
        <v>40.1828</v>
      </c>
      <c r="T46">
        <v>29.066500000000001</v>
      </c>
    </row>
    <row r="47" spans="1:20" x14ac:dyDescent="0.25">
      <c r="A47" t="s">
        <v>136</v>
      </c>
      <c r="B47" s="1">
        <v>45337</v>
      </c>
      <c r="C47" s="1">
        <v>45351</v>
      </c>
      <c r="D47" t="s">
        <v>96</v>
      </c>
      <c r="E47" t="s">
        <v>42</v>
      </c>
      <c r="F47" t="s">
        <v>33</v>
      </c>
      <c r="G47" t="s">
        <v>43</v>
      </c>
      <c r="H47" t="s">
        <v>25</v>
      </c>
      <c r="I47">
        <v>821</v>
      </c>
      <c r="J47">
        <v>69</v>
      </c>
      <c r="K47">
        <v>56649</v>
      </c>
      <c r="L47" t="s">
        <v>65</v>
      </c>
      <c r="M47" t="s">
        <v>27</v>
      </c>
      <c r="N47">
        <v>36</v>
      </c>
      <c r="O47" t="s">
        <v>28</v>
      </c>
      <c r="P47" t="s">
        <v>45</v>
      </c>
      <c r="Q47" t="s">
        <v>53</v>
      </c>
      <c r="R47" t="s">
        <v>73</v>
      </c>
      <c r="S47">
        <v>41.008200000000002</v>
      </c>
      <c r="T47">
        <v>28.978400000000001</v>
      </c>
    </row>
    <row r="48" spans="1:20" x14ac:dyDescent="0.25">
      <c r="A48" t="s">
        <v>137</v>
      </c>
      <c r="B48" s="1">
        <v>45338</v>
      </c>
      <c r="C48" s="1">
        <v>45351</v>
      </c>
      <c r="D48" t="s">
        <v>120</v>
      </c>
      <c r="E48" t="s">
        <v>57</v>
      </c>
      <c r="F48" t="s">
        <v>33</v>
      </c>
      <c r="G48" t="s">
        <v>72</v>
      </c>
      <c r="H48" t="s">
        <v>25</v>
      </c>
      <c r="I48">
        <v>321</v>
      </c>
      <c r="J48">
        <v>55</v>
      </c>
      <c r="K48">
        <v>17655</v>
      </c>
      <c r="L48" t="s">
        <v>26</v>
      </c>
      <c r="M48" t="s">
        <v>51</v>
      </c>
      <c r="N48">
        <v>33</v>
      </c>
      <c r="O48" t="s">
        <v>52</v>
      </c>
      <c r="P48" t="s">
        <v>45</v>
      </c>
      <c r="Q48" t="s">
        <v>68</v>
      </c>
      <c r="R48" t="s">
        <v>91</v>
      </c>
      <c r="S48">
        <v>26.912400000000002</v>
      </c>
      <c r="T48">
        <v>75.787300000000002</v>
      </c>
    </row>
    <row r="49" spans="1:20" x14ac:dyDescent="0.25">
      <c r="A49" s="2" t="s">
        <v>138</v>
      </c>
      <c r="B49" s="1">
        <v>45339</v>
      </c>
      <c r="C49" s="1">
        <v>45351</v>
      </c>
      <c r="D49" t="s">
        <v>116</v>
      </c>
      <c r="E49" t="s">
        <v>57</v>
      </c>
      <c r="F49" t="s">
        <v>33</v>
      </c>
      <c r="G49" t="s">
        <v>34</v>
      </c>
      <c r="H49" t="s">
        <v>25</v>
      </c>
      <c r="I49">
        <v>1208</v>
      </c>
      <c r="J49">
        <v>75</v>
      </c>
      <c r="K49">
        <v>90600</v>
      </c>
      <c r="L49" t="s">
        <v>65</v>
      </c>
      <c r="M49" t="s">
        <v>44</v>
      </c>
      <c r="N49">
        <v>44</v>
      </c>
      <c r="O49" t="s">
        <v>59</v>
      </c>
      <c r="P49" t="s">
        <v>45</v>
      </c>
      <c r="Q49" t="s">
        <v>68</v>
      </c>
      <c r="R49" t="s">
        <v>98</v>
      </c>
      <c r="S49">
        <v>22.572600000000001</v>
      </c>
      <c r="T49">
        <v>88.363900000000001</v>
      </c>
    </row>
    <row r="50" spans="1:20" x14ac:dyDescent="0.25">
      <c r="A50" t="s">
        <v>139</v>
      </c>
      <c r="B50" s="1">
        <v>45340</v>
      </c>
      <c r="C50" s="1">
        <v>45351</v>
      </c>
      <c r="D50" t="s">
        <v>78</v>
      </c>
      <c r="E50" t="s">
        <v>22</v>
      </c>
      <c r="F50" t="s">
        <v>33</v>
      </c>
      <c r="G50" t="s">
        <v>43</v>
      </c>
      <c r="H50" t="s">
        <v>25</v>
      </c>
      <c r="I50">
        <v>757</v>
      </c>
      <c r="J50">
        <v>1</v>
      </c>
      <c r="K50">
        <v>757</v>
      </c>
      <c r="L50" t="s">
        <v>65</v>
      </c>
      <c r="M50" t="s">
        <v>51</v>
      </c>
      <c r="N50">
        <v>22</v>
      </c>
      <c r="O50" t="s">
        <v>87</v>
      </c>
      <c r="P50" t="s">
        <v>45</v>
      </c>
      <c r="Q50" t="s">
        <v>53</v>
      </c>
      <c r="R50" t="s">
        <v>54</v>
      </c>
      <c r="S50">
        <v>40.1828</v>
      </c>
      <c r="T50">
        <v>29.066500000000001</v>
      </c>
    </row>
    <row r="51" spans="1:20" x14ac:dyDescent="0.25">
      <c r="A51" t="s">
        <v>140</v>
      </c>
      <c r="B51" s="1">
        <v>45341</v>
      </c>
      <c r="C51" s="1">
        <v>45351</v>
      </c>
      <c r="D51" t="s">
        <v>116</v>
      </c>
      <c r="E51" t="s">
        <v>57</v>
      </c>
      <c r="F51" t="s">
        <v>33</v>
      </c>
      <c r="G51" t="s">
        <v>43</v>
      </c>
      <c r="H51" t="s">
        <v>25</v>
      </c>
      <c r="I51">
        <v>1207</v>
      </c>
      <c r="J51">
        <v>51</v>
      </c>
      <c r="K51">
        <v>61557</v>
      </c>
      <c r="L51" t="s">
        <v>65</v>
      </c>
      <c r="M51" t="s">
        <v>27</v>
      </c>
      <c r="N51">
        <v>55</v>
      </c>
      <c r="O51" t="s">
        <v>37</v>
      </c>
      <c r="P51" t="s">
        <v>29</v>
      </c>
      <c r="Q51" t="s">
        <v>53</v>
      </c>
      <c r="R51" t="s">
        <v>62</v>
      </c>
      <c r="S51">
        <v>36.896900000000002</v>
      </c>
      <c r="T51">
        <v>30.7133</v>
      </c>
    </row>
    <row r="52" spans="1:20" x14ac:dyDescent="0.25">
      <c r="A52" t="s">
        <v>141</v>
      </c>
      <c r="B52" s="1">
        <v>45342</v>
      </c>
      <c r="C52" s="1">
        <v>45351</v>
      </c>
      <c r="D52" t="s">
        <v>85</v>
      </c>
      <c r="E52" t="s">
        <v>22</v>
      </c>
      <c r="F52" t="s">
        <v>71</v>
      </c>
      <c r="G52" t="s">
        <v>58</v>
      </c>
      <c r="H52" t="s">
        <v>25</v>
      </c>
      <c r="I52">
        <v>1061</v>
      </c>
      <c r="J52">
        <v>88</v>
      </c>
      <c r="K52">
        <v>93368</v>
      </c>
      <c r="L52" t="s">
        <v>26</v>
      </c>
      <c r="M52" t="s">
        <v>44</v>
      </c>
      <c r="N52">
        <v>63</v>
      </c>
      <c r="O52" t="s">
        <v>66</v>
      </c>
      <c r="P52" t="s">
        <v>45</v>
      </c>
      <c r="Q52" t="s">
        <v>68</v>
      </c>
      <c r="R52" t="s">
        <v>91</v>
      </c>
      <c r="S52">
        <v>26.912400000000002</v>
      </c>
      <c r="T52">
        <v>75.787300000000002</v>
      </c>
    </row>
    <row r="53" spans="1:20" x14ac:dyDescent="0.25">
      <c r="A53" t="s">
        <v>142</v>
      </c>
      <c r="B53" s="1">
        <v>45343</v>
      </c>
      <c r="C53" s="1">
        <v>45351</v>
      </c>
      <c r="D53" t="s">
        <v>131</v>
      </c>
      <c r="E53" t="s">
        <v>103</v>
      </c>
      <c r="F53" t="s">
        <v>71</v>
      </c>
      <c r="G53" t="s">
        <v>34</v>
      </c>
      <c r="H53" t="s">
        <v>104</v>
      </c>
      <c r="I53">
        <v>856</v>
      </c>
      <c r="J53">
        <v>33</v>
      </c>
      <c r="K53">
        <v>28248</v>
      </c>
      <c r="L53" t="s">
        <v>35</v>
      </c>
      <c r="M53" t="s">
        <v>27</v>
      </c>
      <c r="N53">
        <v>31</v>
      </c>
      <c r="O53" t="s">
        <v>52</v>
      </c>
      <c r="P53" t="s">
        <v>45</v>
      </c>
      <c r="Q53" t="s">
        <v>53</v>
      </c>
      <c r="R53" t="s">
        <v>94</v>
      </c>
      <c r="S53">
        <v>38.419199999999996</v>
      </c>
      <c r="T53">
        <v>27.128699999999998</v>
      </c>
    </row>
    <row r="54" spans="1:20" x14ac:dyDescent="0.25">
      <c r="A54" t="s">
        <v>143</v>
      </c>
      <c r="B54" s="1">
        <v>45344</v>
      </c>
      <c r="C54" s="1">
        <v>45351</v>
      </c>
      <c r="D54" t="s">
        <v>116</v>
      </c>
      <c r="E54" t="s">
        <v>57</v>
      </c>
      <c r="F54" t="s">
        <v>23</v>
      </c>
      <c r="G54" t="s">
        <v>58</v>
      </c>
      <c r="H54" t="s">
        <v>25</v>
      </c>
      <c r="I54">
        <v>1248</v>
      </c>
      <c r="J54">
        <v>4</v>
      </c>
      <c r="K54">
        <v>4992</v>
      </c>
      <c r="L54" t="s">
        <v>65</v>
      </c>
      <c r="M54" t="s">
        <v>44</v>
      </c>
      <c r="N54">
        <v>35</v>
      </c>
      <c r="O54" t="s">
        <v>28</v>
      </c>
      <c r="P54" t="s">
        <v>29</v>
      </c>
      <c r="Q54" t="s">
        <v>68</v>
      </c>
      <c r="R54" t="s">
        <v>88</v>
      </c>
      <c r="S54">
        <v>17.385000000000002</v>
      </c>
      <c r="T54">
        <v>78.486699999999999</v>
      </c>
    </row>
    <row r="55" spans="1:20" x14ac:dyDescent="0.25">
      <c r="A55" t="s">
        <v>144</v>
      </c>
      <c r="B55" s="1">
        <v>45345</v>
      </c>
      <c r="C55" s="1">
        <v>45351</v>
      </c>
      <c r="D55" t="s">
        <v>56</v>
      </c>
      <c r="E55" t="s">
        <v>57</v>
      </c>
      <c r="F55" t="s">
        <v>33</v>
      </c>
      <c r="G55" t="s">
        <v>72</v>
      </c>
      <c r="H55" t="s">
        <v>25</v>
      </c>
      <c r="I55">
        <v>1858</v>
      </c>
      <c r="J55">
        <v>17</v>
      </c>
      <c r="K55">
        <v>31586</v>
      </c>
      <c r="L55" t="s">
        <v>26</v>
      </c>
      <c r="M55" t="s">
        <v>44</v>
      </c>
      <c r="N55">
        <v>27</v>
      </c>
      <c r="O55" t="s">
        <v>52</v>
      </c>
      <c r="P55" t="s">
        <v>45</v>
      </c>
      <c r="Q55" t="s">
        <v>46</v>
      </c>
      <c r="R55" t="s">
        <v>111</v>
      </c>
      <c r="S55">
        <v>22.845600000000001</v>
      </c>
      <c r="T55">
        <v>89.540300000000002</v>
      </c>
    </row>
    <row r="56" spans="1:20" x14ac:dyDescent="0.25">
      <c r="A56" t="s">
        <v>145</v>
      </c>
      <c r="B56" s="1">
        <v>45346</v>
      </c>
      <c r="C56" s="1">
        <v>45351</v>
      </c>
      <c r="D56" t="s">
        <v>146</v>
      </c>
      <c r="E56" t="s">
        <v>57</v>
      </c>
      <c r="F56" t="s">
        <v>33</v>
      </c>
      <c r="G56" t="s">
        <v>24</v>
      </c>
      <c r="H56" t="s">
        <v>25</v>
      </c>
      <c r="I56">
        <v>422</v>
      </c>
      <c r="J56">
        <v>29</v>
      </c>
      <c r="K56">
        <v>12238</v>
      </c>
      <c r="L56" t="s">
        <v>26</v>
      </c>
      <c r="M56" t="s">
        <v>27</v>
      </c>
      <c r="N56">
        <v>48</v>
      </c>
      <c r="O56" t="s">
        <v>59</v>
      </c>
      <c r="P56" t="s">
        <v>29</v>
      </c>
      <c r="Q56" t="s">
        <v>68</v>
      </c>
      <c r="R56" t="s">
        <v>69</v>
      </c>
      <c r="S56">
        <v>18.520399999999999</v>
      </c>
      <c r="T56">
        <v>73.856700000000004</v>
      </c>
    </row>
    <row r="57" spans="1:20" x14ac:dyDescent="0.25">
      <c r="A57" t="s">
        <v>147</v>
      </c>
      <c r="B57" s="1">
        <v>45347</v>
      </c>
      <c r="C57" s="1">
        <v>45351</v>
      </c>
      <c r="D57" t="s">
        <v>116</v>
      </c>
      <c r="E57" t="s">
        <v>57</v>
      </c>
      <c r="F57" t="s">
        <v>71</v>
      </c>
      <c r="G57" t="s">
        <v>72</v>
      </c>
      <c r="H57" t="s">
        <v>25</v>
      </c>
      <c r="I57">
        <v>1204</v>
      </c>
      <c r="J57">
        <v>88</v>
      </c>
      <c r="K57">
        <v>105952</v>
      </c>
      <c r="L57" t="s">
        <v>26</v>
      </c>
      <c r="M57" t="s">
        <v>27</v>
      </c>
      <c r="N57">
        <v>25</v>
      </c>
      <c r="O57" t="s">
        <v>87</v>
      </c>
      <c r="P57" t="s">
        <v>45</v>
      </c>
      <c r="Q57" t="s">
        <v>30</v>
      </c>
      <c r="R57" t="s">
        <v>148</v>
      </c>
      <c r="S57">
        <v>33.565100000000001</v>
      </c>
      <c r="T57">
        <v>73.016900000000007</v>
      </c>
    </row>
    <row r="58" spans="1:20" x14ac:dyDescent="0.25">
      <c r="A58" t="s">
        <v>149</v>
      </c>
      <c r="B58" s="1">
        <v>45348</v>
      </c>
      <c r="C58" s="1">
        <v>45351</v>
      </c>
      <c r="D58" t="s">
        <v>96</v>
      </c>
      <c r="E58" t="s">
        <v>42</v>
      </c>
      <c r="F58" t="s">
        <v>33</v>
      </c>
      <c r="G58" t="s">
        <v>43</v>
      </c>
      <c r="H58" t="s">
        <v>25</v>
      </c>
      <c r="I58">
        <v>895</v>
      </c>
      <c r="J58">
        <v>83</v>
      </c>
      <c r="K58">
        <v>74285</v>
      </c>
      <c r="L58" t="s">
        <v>26</v>
      </c>
      <c r="M58" t="s">
        <v>51</v>
      </c>
      <c r="N58">
        <v>40</v>
      </c>
      <c r="O58" t="s">
        <v>28</v>
      </c>
      <c r="P58" t="s">
        <v>29</v>
      </c>
      <c r="Q58" t="s">
        <v>68</v>
      </c>
      <c r="R58" t="s">
        <v>132</v>
      </c>
      <c r="S58">
        <v>13.082700000000001</v>
      </c>
      <c r="T58">
        <v>80.270700000000005</v>
      </c>
    </row>
    <row r="59" spans="1:20" x14ac:dyDescent="0.25">
      <c r="A59" t="s">
        <v>150</v>
      </c>
      <c r="B59" s="1">
        <v>45349</v>
      </c>
      <c r="C59" s="1">
        <v>45351</v>
      </c>
      <c r="D59" t="s">
        <v>85</v>
      </c>
      <c r="E59" t="s">
        <v>22</v>
      </c>
      <c r="F59" t="s">
        <v>33</v>
      </c>
      <c r="G59" t="s">
        <v>58</v>
      </c>
      <c r="H59" t="s">
        <v>25</v>
      </c>
      <c r="I59">
        <v>1040</v>
      </c>
      <c r="J59">
        <v>69</v>
      </c>
      <c r="K59">
        <v>71760</v>
      </c>
      <c r="L59" t="s">
        <v>65</v>
      </c>
      <c r="M59" t="s">
        <v>44</v>
      </c>
      <c r="N59">
        <v>54</v>
      </c>
      <c r="O59" t="s">
        <v>37</v>
      </c>
      <c r="P59" t="s">
        <v>38</v>
      </c>
      <c r="Q59" t="s">
        <v>68</v>
      </c>
      <c r="R59" t="s">
        <v>121</v>
      </c>
      <c r="S59">
        <v>12.9716</v>
      </c>
      <c r="T59">
        <v>77.5946</v>
      </c>
    </row>
    <row r="60" spans="1:20" x14ac:dyDescent="0.25">
      <c r="A60" t="s">
        <v>151</v>
      </c>
      <c r="B60" s="1">
        <v>45350</v>
      </c>
      <c r="C60" s="1">
        <v>45351</v>
      </c>
      <c r="D60" t="s">
        <v>129</v>
      </c>
      <c r="E60" t="s">
        <v>103</v>
      </c>
      <c r="F60" t="s">
        <v>33</v>
      </c>
      <c r="G60" t="s">
        <v>72</v>
      </c>
      <c r="H60" t="s">
        <v>104</v>
      </c>
      <c r="I60">
        <v>1131</v>
      </c>
      <c r="J60">
        <v>26</v>
      </c>
      <c r="K60">
        <v>29406</v>
      </c>
      <c r="L60" t="s">
        <v>65</v>
      </c>
      <c r="M60" t="s">
        <v>44</v>
      </c>
      <c r="N60">
        <v>41</v>
      </c>
      <c r="O60" t="s">
        <v>28</v>
      </c>
      <c r="P60" t="s">
        <v>45</v>
      </c>
      <c r="Q60" t="s">
        <v>53</v>
      </c>
      <c r="R60" t="s">
        <v>62</v>
      </c>
      <c r="S60">
        <v>36.896900000000002</v>
      </c>
      <c r="T60">
        <v>30.7133</v>
      </c>
    </row>
    <row r="61" spans="1:20" x14ac:dyDescent="0.25">
      <c r="A61" t="s">
        <v>152</v>
      </c>
      <c r="B61" s="1">
        <v>45351</v>
      </c>
      <c r="C61" s="1">
        <v>45351</v>
      </c>
      <c r="D61" t="s">
        <v>75</v>
      </c>
      <c r="E61" t="s">
        <v>50</v>
      </c>
      <c r="F61" t="s">
        <v>71</v>
      </c>
      <c r="G61" t="s">
        <v>58</v>
      </c>
      <c r="H61" t="s">
        <v>25</v>
      </c>
      <c r="I61">
        <v>397</v>
      </c>
      <c r="J61">
        <v>81</v>
      </c>
      <c r="K61">
        <v>32157</v>
      </c>
      <c r="L61" t="s">
        <v>65</v>
      </c>
      <c r="M61" t="s">
        <v>44</v>
      </c>
      <c r="N61">
        <v>23</v>
      </c>
      <c r="O61" t="s">
        <v>87</v>
      </c>
      <c r="P61" t="s">
        <v>29</v>
      </c>
      <c r="Q61" t="s">
        <v>46</v>
      </c>
      <c r="R61" t="s">
        <v>118</v>
      </c>
      <c r="S61">
        <v>24.8949</v>
      </c>
      <c r="T61">
        <v>91.868700000000004</v>
      </c>
    </row>
    <row r="62" spans="1:20" x14ac:dyDescent="0.25">
      <c r="A62" t="s">
        <v>153</v>
      </c>
      <c r="B62" s="1">
        <v>45352</v>
      </c>
      <c r="C62" s="1">
        <v>45382</v>
      </c>
      <c r="D62" t="s">
        <v>78</v>
      </c>
      <c r="E62" t="s">
        <v>22</v>
      </c>
      <c r="F62" t="s">
        <v>71</v>
      </c>
      <c r="G62" t="s">
        <v>24</v>
      </c>
      <c r="H62" t="s">
        <v>25</v>
      </c>
      <c r="I62">
        <v>770</v>
      </c>
      <c r="J62">
        <v>91</v>
      </c>
      <c r="K62">
        <v>70070</v>
      </c>
      <c r="L62" t="s">
        <v>65</v>
      </c>
      <c r="M62" t="s">
        <v>36</v>
      </c>
      <c r="N62">
        <v>64</v>
      </c>
      <c r="O62" t="s">
        <v>66</v>
      </c>
      <c r="P62" t="s">
        <v>29</v>
      </c>
      <c r="Q62" t="s">
        <v>68</v>
      </c>
      <c r="R62" t="s">
        <v>98</v>
      </c>
      <c r="S62">
        <v>22.572600000000001</v>
      </c>
      <c r="T62">
        <v>88.363900000000001</v>
      </c>
    </row>
    <row r="63" spans="1:20" x14ac:dyDescent="0.25">
      <c r="A63" s="2" t="s">
        <v>154</v>
      </c>
      <c r="B63" s="1">
        <v>45353</v>
      </c>
      <c r="C63" s="1">
        <v>45382</v>
      </c>
      <c r="D63" t="s">
        <v>56</v>
      </c>
      <c r="E63" t="s">
        <v>57</v>
      </c>
      <c r="F63" t="s">
        <v>23</v>
      </c>
      <c r="G63" t="s">
        <v>34</v>
      </c>
      <c r="H63" t="s">
        <v>25</v>
      </c>
      <c r="I63">
        <v>1856</v>
      </c>
      <c r="J63">
        <v>62</v>
      </c>
      <c r="K63">
        <v>115072</v>
      </c>
      <c r="L63" t="s">
        <v>26</v>
      </c>
      <c r="M63" t="s">
        <v>27</v>
      </c>
      <c r="N63">
        <v>36</v>
      </c>
      <c r="O63" t="s">
        <v>28</v>
      </c>
      <c r="P63" t="s">
        <v>45</v>
      </c>
      <c r="Q63" t="s">
        <v>53</v>
      </c>
      <c r="R63" t="s">
        <v>54</v>
      </c>
      <c r="S63">
        <v>40.1828</v>
      </c>
      <c r="T63">
        <v>29.066500000000001</v>
      </c>
    </row>
    <row r="64" spans="1:20" x14ac:dyDescent="0.25">
      <c r="A64" t="s">
        <v>155</v>
      </c>
      <c r="B64" s="1">
        <v>45354</v>
      </c>
      <c r="C64" s="1">
        <v>45382</v>
      </c>
      <c r="D64" t="s">
        <v>129</v>
      </c>
      <c r="E64" t="s">
        <v>103</v>
      </c>
      <c r="F64" t="s">
        <v>33</v>
      </c>
      <c r="G64" t="s">
        <v>43</v>
      </c>
      <c r="H64" t="s">
        <v>104</v>
      </c>
      <c r="I64">
        <v>1142</v>
      </c>
      <c r="J64">
        <v>4</v>
      </c>
      <c r="K64">
        <v>4568</v>
      </c>
      <c r="L64" t="s">
        <v>35</v>
      </c>
      <c r="M64" t="s">
        <v>36</v>
      </c>
      <c r="N64">
        <v>27</v>
      </c>
      <c r="O64" t="s">
        <v>52</v>
      </c>
      <c r="P64" t="s">
        <v>29</v>
      </c>
      <c r="Q64" t="s">
        <v>68</v>
      </c>
      <c r="R64" t="s">
        <v>91</v>
      </c>
      <c r="S64">
        <v>26.912400000000002</v>
      </c>
      <c r="T64">
        <v>75.787300000000002</v>
      </c>
    </row>
    <row r="65" spans="1:20" x14ac:dyDescent="0.25">
      <c r="A65" t="s">
        <v>95</v>
      </c>
      <c r="B65" s="1">
        <v>45355</v>
      </c>
      <c r="C65" s="1">
        <v>45382</v>
      </c>
      <c r="D65" t="s">
        <v>96</v>
      </c>
      <c r="E65" t="s">
        <v>42</v>
      </c>
      <c r="F65" t="s">
        <v>23</v>
      </c>
      <c r="G65" t="s">
        <v>72</v>
      </c>
      <c r="H65" t="s">
        <v>25</v>
      </c>
      <c r="I65">
        <v>852</v>
      </c>
      <c r="J65">
        <v>75</v>
      </c>
      <c r="K65">
        <v>63900</v>
      </c>
      <c r="L65" t="s">
        <v>26</v>
      </c>
      <c r="M65" t="s">
        <v>36</v>
      </c>
      <c r="N65">
        <v>29</v>
      </c>
      <c r="O65" t="s">
        <v>52</v>
      </c>
      <c r="P65" t="s">
        <v>45</v>
      </c>
      <c r="Q65" t="s">
        <v>53</v>
      </c>
      <c r="R65" t="s">
        <v>73</v>
      </c>
      <c r="S65">
        <v>41.008200000000002</v>
      </c>
      <c r="T65">
        <v>28.978400000000001</v>
      </c>
    </row>
    <row r="66" spans="1:20" x14ac:dyDescent="0.25">
      <c r="A66" t="s">
        <v>156</v>
      </c>
      <c r="B66" s="1">
        <v>45356</v>
      </c>
      <c r="C66" s="1">
        <v>45382</v>
      </c>
      <c r="D66" t="s">
        <v>85</v>
      </c>
      <c r="E66" t="s">
        <v>22</v>
      </c>
      <c r="F66" t="s">
        <v>23</v>
      </c>
      <c r="G66" t="s">
        <v>58</v>
      </c>
      <c r="H66" t="s">
        <v>25</v>
      </c>
      <c r="I66">
        <v>1059</v>
      </c>
      <c r="J66">
        <v>68</v>
      </c>
      <c r="K66">
        <v>72012</v>
      </c>
      <c r="L66" t="s">
        <v>26</v>
      </c>
      <c r="M66" t="s">
        <v>51</v>
      </c>
      <c r="N66">
        <v>47</v>
      </c>
      <c r="O66" t="s">
        <v>59</v>
      </c>
      <c r="P66" t="s">
        <v>29</v>
      </c>
      <c r="Q66" t="s">
        <v>68</v>
      </c>
      <c r="R66" t="s">
        <v>121</v>
      </c>
      <c r="S66">
        <v>12.9716</v>
      </c>
      <c r="T66">
        <v>77.5946</v>
      </c>
    </row>
    <row r="67" spans="1:20" x14ac:dyDescent="0.25">
      <c r="A67" t="s">
        <v>157</v>
      </c>
      <c r="B67" s="1">
        <v>45357</v>
      </c>
      <c r="C67" s="1">
        <v>45382</v>
      </c>
      <c r="D67" t="s">
        <v>41</v>
      </c>
      <c r="E67" t="s">
        <v>42</v>
      </c>
      <c r="F67" t="s">
        <v>23</v>
      </c>
      <c r="G67" t="s">
        <v>24</v>
      </c>
      <c r="H67" t="s">
        <v>25</v>
      </c>
      <c r="I67">
        <v>689</v>
      </c>
      <c r="J67">
        <v>89</v>
      </c>
      <c r="K67">
        <v>61321</v>
      </c>
      <c r="L67" t="s">
        <v>26</v>
      </c>
      <c r="M67" t="s">
        <v>44</v>
      </c>
      <c r="N67">
        <v>51</v>
      </c>
      <c r="O67" t="s">
        <v>37</v>
      </c>
      <c r="P67" t="s">
        <v>29</v>
      </c>
      <c r="Q67" t="s">
        <v>68</v>
      </c>
      <c r="R67" t="s">
        <v>121</v>
      </c>
      <c r="S67">
        <v>12.9716</v>
      </c>
      <c r="T67">
        <v>77.5946</v>
      </c>
    </row>
    <row r="68" spans="1:20" x14ac:dyDescent="0.25">
      <c r="A68" t="s">
        <v>158</v>
      </c>
      <c r="B68" s="1">
        <v>45358</v>
      </c>
      <c r="C68" s="1">
        <v>45382</v>
      </c>
      <c r="D68" t="s">
        <v>159</v>
      </c>
      <c r="E68" t="s">
        <v>103</v>
      </c>
      <c r="F68" t="s">
        <v>23</v>
      </c>
      <c r="G68" t="s">
        <v>43</v>
      </c>
      <c r="H68" t="s">
        <v>104</v>
      </c>
      <c r="I68">
        <v>456</v>
      </c>
      <c r="J68">
        <v>9</v>
      </c>
      <c r="K68">
        <v>4104</v>
      </c>
      <c r="L68" t="s">
        <v>26</v>
      </c>
      <c r="M68" t="s">
        <v>44</v>
      </c>
      <c r="N68">
        <v>21</v>
      </c>
      <c r="O68" t="s">
        <v>87</v>
      </c>
      <c r="P68" t="s">
        <v>45</v>
      </c>
      <c r="Q68" t="s">
        <v>53</v>
      </c>
      <c r="R68" t="s">
        <v>100</v>
      </c>
      <c r="S68">
        <v>39.933399999999999</v>
      </c>
      <c r="T68">
        <v>32.859699999999997</v>
      </c>
    </row>
    <row r="69" spans="1:20" x14ac:dyDescent="0.25">
      <c r="A69" t="s">
        <v>160</v>
      </c>
      <c r="B69" s="1">
        <v>45359</v>
      </c>
      <c r="C69" s="1">
        <v>45382</v>
      </c>
      <c r="D69" t="s">
        <v>85</v>
      </c>
      <c r="E69" t="s">
        <v>22</v>
      </c>
      <c r="F69" t="s">
        <v>23</v>
      </c>
      <c r="G69" t="s">
        <v>43</v>
      </c>
      <c r="H69" t="s">
        <v>25</v>
      </c>
      <c r="I69">
        <v>1062</v>
      </c>
      <c r="J69">
        <v>68</v>
      </c>
      <c r="K69">
        <v>72216</v>
      </c>
      <c r="L69" t="s">
        <v>35</v>
      </c>
      <c r="M69" t="s">
        <v>51</v>
      </c>
      <c r="N69">
        <v>62</v>
      </c>
      <c r="O69" t="s">
        <v>66</v>
      </c>
      <c r="P69" t="s">
        <v>45</v>
      </c>
      <c r="Q69" t="s">
        <v>53</v>
      </c>
      <c r="R69" t="s">
        <v>54</v>
      </c>
      <c r="S69">
        <v>40.1828</v>
      </c>
      <c r="T69">
        <v>29.066500000000001</v>
      </c>
    </row>
    <row r="70" spans="1:20" x14ac:dyDescent="0.25">
      <c r="A70" t="s">
        <v>161</v>
      </c>
      <c r="B70" s="1">
        <v>45360</v>
      </c>
      <c r="C70" s="1">
        <v>45382</v>
      </c>
      <c r="D70" t="s">
        <v>129</v>
      </c>
      <c r="E70" t="s">
        <v>103</v>
      </c>
      <c r="F70" t="s">
        <v>71</v>
      </c>
      <c r="G70" t="s">
        <v>43</v>
      </c>
      <c r="H70" t="s">
        <v>104</v>
      </c>
      <c r="I70">
        <v>1106</v>
      </c>
      <c r="J70">
        <v>71</v>
      </c>
      <c r="K70">
        <v>78526</v>
      </c>
      <c r="L70" t="s">
        <v>26</v>
      </c>
      <c r="M70" t="s">
        <v>36</v>
      </c>
      <c r="N70">
        <v>33</v>
      </c>
      <c r="O70" t="s">
        <v>52</v>
      </c>
      <c r="P70" t="s">
        <v>29</v>
      </c>
      <c r="Q70" t="s">
        <v>68</v>
      </c>
      <c r="R70" t="s">
        <v>132</v>
      </c>
      <c r="S70">
        <v>13.082700000000001</v>
      </c>
      <c r="T70">
        <v>80.270700000000005</v>
      </c>
    </row>
    <row r="71" spans="1:20" x14ac:dyDescent="0.25">
      <c r="A71" t="s">
        <v>162</v>
      </c>
      <c r="B71" s="1">
        <v>45361</v>
      </c>
      <c r="C71" s="1">
        <v>45382</v>
      </c>
      <c r="D71" t="s">
        <v>120</v>
      </c>
      <c r="E71" t="s">
        <v>57</v>
      </c>
      <c r="F71" t="s">
        <v>71</v>
      </c>
      <c r="G71" t="s">
        <v>24</v>
      </c>
      <c r="H71" t="s">
        <v>25</v>
      </c>
      <c r="I71">
        <v>315</v>
      </c>
      <c r="J71">
        <v>17</v>
      </c>
      <c r="K71">
        <v>5355</v>
      </c>
      <c r="L71" t="s">
        <v>26</v>
      </c>
      <c r="M71" t="s">
        <v>44</v>
      </c>
      <c r="N71">
        <v>44</v>
      </c>
      <c r="O71" t="s">
        <v>59</v>
      </c>
      <c r="P71" t="s">
        <v>29</v>
      </c>
      <c r="Q71" t="s">
        <v>53</v>
      </c>
      <c r="R71" t="s">
        <v>94</v>
      </c>
      <c r="S71">
        <v>38.419199999999996</v>
      </c>
      <c r="T71">
        <v>27.128699999999998</v>
      </c>
    </row>
    <row r="72" spans="1:20" x14ac:dyDescent="0.25">
      <c r="A72" t="s">
        <v>48</v>
      </c>
      <c r="B72" s="1">
        <v>45362</v>
      </c>
      <c r="C72" s="1">
        <v>45382</v>
      </c>
      <c r="D72" t="s">
        <v>49</v>
      </c>
      <c r="E72" t="s">
        <v>50</v>
      </c>
      <c r="F72" t="s">
        <v>33</v>
      </c>
      <c r="G72" t="s">
        <v>43</v>
      </c>
      <c r="H72" t="s">
        <v>25</v>
      </c>
      <c r="I72">
        <v>342</v>
      </c>
      <c r="J72">
        <v>25</v>
      </c>
      <c r="K72">
        <v>8550</v>
      </c>
      <c r="L72" t="s">
        <v>26</v>
      </c>
      <c r="M72" t="s">
        <v>51</v>
      </c>
      <c r="N72">
        <v>32</v>
      </c>
      <c r="O72" t="s">
        <v>52</v>
      </c>
      <c r="P72" t="s">
        <v>45</v>
      </c>
      <c r="Q72" t="s">
        <v>53</v>
      </c>
      <c r="R72" t="s">
        <v>54</v>
      </c>
      <c r="S72">
        <v>40.1828</v>
      </c>
      <c r="T72">
        <v>29.066500000000001</v>
      </c>
    </row>
    <row r="73" spans="1:20" x14ac:dyDescent="0.25">
      <c r="A73" t="s">
        <v>163</v>
      </c>
      <c r="B73" s="1">
        <v>45363</v>
      </c>
      <c r="C73" s="1">
        <v>45382</v>
      </c>
      <c r="D73" t="s">
        <v>56</v>
      </c>
      <c r="E73" t="s">
        <v>57</v>
      </c>
      <c r="F73" t="s">
        <v>71</v>
      </c>
      <c r="G73" t="s">
        <v>72</v>
      </c>
      <c r="H73" t="s">
        <v>25</v>
      </c>
      <c r="I73">
        <v>1799</v>
      </c>
      <c r="J73">
        <v>13</v>
      </c>
      <c r="K73">
        <v>23387</v>
      </c>
      <c r="L73" t="s">
        <v>26</v>
      </c>
      <c r="M73" t="s">
        <v>44</v>
      </c>
      <c r="N73">
        <v>43</v>
      </c>
      <c r="O73" t="s">
        <v>59</v>
      </c>
      <c r="P73" t="s">
        <v>45</v>
      </c>
      <c r="Q73" t="s">
        <v>68</v>
      </c>
      <c r="R73" t="s">
        <v>127</v>
      </c>
      <c r="S73">
        <v>26.846699999999998</v>
      </c>
      <c r="T73">
        <v>80.946200000000005</v>
      </c>
    </row>
    <row r="74" spans="1:20" x14ac:dyDescent="0.25">
      <c r="A74" t="s">
        <v>164</v>
      </c>
      <c r="B74" s="1">
        <v>45364</v>
      </c>
      <c r="C74" s="1">
        <v>45382</v>
      </c>
      <c r="D74" t="s">
        <v>159</v>
      </c>
      <c r="E74" t="s">
        <v>103</v>
      </c>
      <c r="F74" t="s">
        <v>33</v>
      </c>
      <c r="G74" t="s">
        <v>72</v>
      </c>
      <c r="H74" t="s">
        <v>104</v>
      </c>
      <c r="I74">
        <v>438</v>
      </c>
      <c r="J74">
        <v>85</v>
      </c>
      <c r="K74">
        <v>37230</v>
      </c>
      <c r="L74" t="s">
        <v>26</v>
      </c>
      <c r="M74" t="s">
        <v>44</v>
      </c>
      <c r="N74">
        <v>44</v>
      </c>
      <c r="O74" t="s">
        <v>59</v>
      </c>
      <c r="P74" t="s">
        <v>45</v>
      </c>
      <c r="Q74" t="s">
        <v>53</v>
      </c>
      <c r="R74" t="s">
        <v>73</v>
      </c>
      <c r="S74">
        <v>41.008200000000002</v>
      </c>
      <c r="T74">
        <v>28.978400000000001</v>
      </c>
    </row>
    <row r="75" spans="1:20" x14ac:dyDescent="0.25">
      <c r="A75" t="s">
        <v>165</v>
      </c>
      <c r="B75" s="1">
        <v>45365</v>
      </c>
      <c r="C75" s="1">
        <v>45382</v>
      </c>
      <c r="D75" t="s">
        <v>75</v>
      </c>
      <c r="E75" t="s">
        <v>50</v>
      </c>
      <c r="F75" t="s">
        <v>33</v>
      </c>
      <c r="G75" t="s">
        <v>24</v>
      </c>
      <c r="H75" t="s">
        <v>25</v>
      </c>
      <c r="I75">
        <v>351</v>
      </c>
      <c r="J75">
        <v>19</v>
      </c>
      <c r="K75">
        <v>6669</v>
      </c>
      <c r="L75" t="s">
        <v>35</v>
      </c>
      <c r="M75" t="s">
        <v>36</v>
      </c>
      <c r="N75">
        <v>41</v>
      </c>
      <c r="O75" t="s">
        <v>28</v>
      </c>
      <c r="P75" t="s">
        <v>45</v>
      </c>
      <c r="Q75" t="s">
        <v>68</v>
      </c>
      <c r="R75" t="s">
        <v>91</v>
      </c>
      <c r="S75">
        <v>26.912400000000002</v>
      </c>
      <c r="T75">
        <v>75.787300000000002</v>
      </c>
    </row>
    <row r="76" spans="1:20" x14ac:dyDescent="0.25">
      <c r="A76" t="s">
        <v>166</v>
      </c>
      <c r="B76" s="1">
        <v>45366</v>
      </c>
      <c r="C76" s="1">
        <v>45382</v>
      </c>
      <c r="D76" t="s">
        <v>116</v>
      </c>
      <c r="E76" t="s">
        <v>57</v>
      </c>
      <c r="F76" t="s">
        <v>33</v>
      </c>
      <c r="G76" t="s">
        <v>34</v>
      </c>
      <c r="H76" t="s">
        <v>25</v>
      </c>
      <c r="I76">
        <v>1206</v>
      </c>
      <c r="J76">
        <v>60</v>
      </c>
      <c r="K76">
        <v>72360</v>
      </c>
      <c r="L76" t="s">
        <v>26</v>
      </c>
      <c r="M76" t="s">
        <v>27</v>
      </c>
      <c r="N76">
        <v>59</v>
      </c>
      <c r="O76" t="s">
        <v>66</v>
      </c>
      <c r="P76" t="s">
        <v>45</v>
      </c>
      <c r="Q76" t="s">
        <v>68</v>
      </c>
      <c r="R76" t="s">
        <v>132</v>
      </c>
      <c r="S76">
        <v>13.082700000000001</v>
      </c>
      <c r="T76">
        <v>80.270700000000005</v>
      </c>
    </row>
    <row r="77" spans="1:20" x14ac:dyDescent="0.25">
      <c r="A77" t="s">
        <v>167</v>
      </c>
      <c r="B77" s="1">
        <v>45367</v>
      </c>
      <c r="C77" s="1">
        <v>45382</v>
      </c>
      <c r="D77" t="s">
        <v>82</v>
      </c>
      <c r="E77" t="s">
        <v>50</v>
      </c>
      <c r="F77" t="s">
        <v>33</v>
      </c>
      <c r="G77" t="s">
        <v>43</v>
      </c>
      <c r="H77" t="s">
        <v>25</v>
      </c>
      <c r="I77">
        <v>544</v>
      </c>
      <c r="J77">
        <v>30</v>
      </c>
      <c r="K77">
        <v>16320</v>
      </c>
      <c r="L77" t="s">
        <v>35</v>
      </c>
      <c r="M77" t="s">
        <v>51</v>
      </c>
      <c r="N77">
        <v>38</v>
      </c>
      <c r="O77" t="s">
        <v>28</v>
      </c>
      <c r="P77" t="s">
        <v>45</v>
      </c>
      <c r="Q77" t="s">
        <v>53</v>
      </c>
      <c r="R77" t="s">
        <v>54</v>
      </c>
      <c r="S77">
        <v>40.1828</v>
      </c>
      <c r="T77">
        <v>29.066500000000001</v>
      </c>
    </row>
    <row r="78" spans="1:20" x14ac:dyDescent="0.25">
      <c r="A78" t="s">
        <v>168</v>
      </c>
      <c r="B78" s="1">
        <v>45368</v>
      </c>
      <c r="C78" s="1">
        <v>45382</v>
      </c>
      <c r="D78" t="s">
        <v>78</v>
      </c>
      <c r="E78" t="s">
        <v>22</v>
      </c>
      <c r="F78" t="s">
        <v>33</v>
      </c>
      <c r="G78" t="s">
        <v>72</v>
      </c>
      <c r="H78" t="s">
        <v>25</v>
      </c>
      <c r="I78">
        <v>760</v>
      </c>
      <c r="J78">
        <v>97</v>
      </c>
      <c r="K78">
        <v>73720</v>
      </c>
      <c r="L78" t="s">
        <v>35</v>
      </c>
      <c r="M78" t="s">
        <v>36</v>
      </c>
      <c r="N78">
        <v>64</v>
      </c>
      <c r="O78" t="s">
        <v>66</v>
      </c>
      <c r="P78" t="s">
        <v>45</v>
      </c>
      <c r="Q78" t="s">
        <v>68</v>
      </c>
      <c r="R78" t="s">
        <v>91</v>
      </c>
      <c r="S78">
        <v>26.912400000000002</v>
      </c>
      <c r="T78">
        <v>75.787300000000002</v>
      </c>
    </row>
    <row r="79" spans="1:20" x14ac:dyDescent="0.25">
      <c r="A79" t="s">
        <v>169</v>
      </c>
      <c r="B79" s="1">
        <v>45369</v>
      </c>
      <c r="C79" s="1">
        <v>45382</v>
      </c>
      <c r="D79" t="s">
        <v>131</v>
      </c>
      <c r="E79" t="s">
        <v>103</v>
      </c>
      <c r="F79" t="s">
        <v>71</v>
      </c>
      <c r="G79" t="s">
        <v>24</v>
      </c>
      <c r="H79" t="s">
        <v>104</v>
      </c>
      <c r="I79">
        <v>884</v>
      </c>
      <c r="J79">
        <v>29</v>
      </c>
      <c r="K79">
        <v>25636</v>
      </c>
      <c r="L79" t="s">
        <v>65</v>
      </c>
      <c r="M79" t="s">
        <v>36</v>
      </c>
      <c r="N79">
        <v>37</v>
      </c>
      <c r="O79" t="s">
        <v>28</v>
      </c>
      <c r="P79" t="s">
        <v>45</v>
      </c>
      <c r="Q79" t="s">
        <v>68</v>
      </c>
      <c r="R79" t="s">
        <v>170</v>
      </c>
      <c r="S79">
        <v>23.022500000000001</v>
      </c>
      <c r="T79">
        <v>72.571399999999997</v>
      </c>
    </row>
    <row r="80" spans="1:20" x14ac:dyDescent="0.25">
      <c r="A80" t="s">
        <v>171</v>
      </c>
      <c r="B80" s="1">
        <v>45370</v>
      </c>
      <c r="C80" s="1">
        <v>45382</v>
      </c>
      <c r="D80" t="s">
        <v>131</v>
      </c>
      <c r="E80" t="s">
        <v>103</v>
      </c>
      <c r="F80" t="s">
        <v>33</v>
      </c>
      <c r="G80" t="s">
        <v>58</v>
      </c>
      <c r="H80" t="s">
        <v>104</v>
      </c>
      <c r="I80">
        <v>811</v>
      </c>
      <c r="J80">
        <v>74</v>
      </c>
      <c r="K80">
        <v>60014</v>
      </c>
      <c r="L80" t="s">
        <v>26</v>
      </c>
      <c r="M80" t="s">
        <v>36</v>
      </c>
      <c r="N80">
        <v>23</v>
      </c>
      <c r="O80" t="s">
        <v>87</v>
      </c>
      <c r="P80" t="s">
        <v>45</v>
      </c>
      <c r="Q80" t="s">
        <v>68</v>
      </c>
      <c r="R80" t="s">
        <v>132</v>
      </c>
      <c r="S80">
        <v>13.082700000000001</v>
      </c>
      <c r="T80">
        <v>80.270700000000005</v>
      </c>
    </row>
    <row r="81" spans="1:20" x14ac:dyDescent="0.25">
      <c r="A81" t="s">
        <v>172</v>
      </c>
      <c r="B81" s="1">
        <v>45371</v>
      </c>
      <c r="C81" s="1">
        <v>45382</v>
      </c>
      <c r="D81" t="s">
        <v>146</v>
      </c>
      <c r="E81" t="s">
        <v>57</v>
      </c>
      <c r="F81" t="s">
        <v>23</v>
      </c>
      <c r="G81" t="s">
        <v>72</v>
      </c>
      <c r="H81" t="s">
        <v>25</v>
      </c>
      <c r="I81">
        <v>425</v>
      </c>
      <c r="J81">
        <v>59</v>
      </c>
      <c r="K81">
        <v>25075</v>
      </c>
      <c r="L81" t="s">
        <v>26</v>
      </c>
      <c r="M81" t="s">
        <v>27</v>
      </c>
      <c r="N81">
        <v>26</v>
      </c>
      <c r="O81" t="s">
        <v>52</v>
      </c>
      <c r="P81" t="s">
        <v>45</v>
      </c>
      <c r="Q81" t="s">
        <v>68</v>
      </c>
      <c r="R81" t="s">
        <v>69</v>
      </c>
      <c r="S81">
        <v>18.520399999999999</v>
      </c>
      <c r="T81">
        <v>73.856700000000004</v>
      </c>
    </row>
    <row r="82" spans="1:20" x14ac:dyDescent="0.25">
      <c r="A82" t="s">
        <v>173</v>
      </c>
      <c r="B82" s="1">
        <v>45372</v>
      </c>
      <c r="C82" s="1">
        <v>45382</v>
      </c>
      <c r="D82" t="s">
        <v>126</v>
      </c>
      <c r="E82" t="s">
        <v>103</v>
      </c>
      <c r="F82" t="s">
        <v>23</v>
      </c>
      <c r="G82" t="s">
        <v>24</v>
      </c>
      <c r="H82" t="s">
        <v>104</v>
      </c>
      <c r="I82">
        <v>829</v>
      </c>
      <c r="J82">
        <v>59</v>
      </c>
      <c r="K82">
        <v>48911</v>
      </c>
      <c r="L82" t="s">
        <v>26</v>
      </c>
      <c r="M82" t="s">
        <v>51</v>
      </c>
      <c r="N82">
        <v>26</v>
      </c>
      <c r="O82" t="s">
        <v>52</v>
      </c>
      <c r="P82" t="s">
        <v>29</v>
      </c>
      <c r="Q82" t="s">
        <v>68</v>
      </c>
      <c r="R82" t="s">
        <v>98</v>
      </c>
      <c r="S82">
        <v>22.572600000000001</v>
      </c>
      <c r="T82">
        <v>88.363900000000001</v>
      </c>
    </row>
    <row r="83" spans="1:20" x14ac:dyDescent="0.25">
      <c r="A83" t="s">
        <v>79</v>
      </c>
      <c r="B83" s="1">
        <v>45373</v>
      </c>
      <c r="C83" s="1">
        <v>45382</v>
      </c>
      <c r="D83" t="s">
        <v>80</v>
      </c>
      <c r="E83" t="s">
        <v>42</v>
      </c>
      <c r="F83" t="s">
        <v>23</v>
      </c>
      <c r="G83" t="s">
        <v>58</v>
      </c>
      <c r="H83" t="s">
        <v>25</v>
      </c>
      <c r="I83">
        <v>556</v>
      </c>
      <c r="J83">
        <v>67</v>
      </c>
      <c r="K83">
        <v>37252</v>
      </c>
      <c r="L83" t="s">
        <v>26</v>
      </c>
      <c r="M83" t="s">
        <v>44</v>
      </c>
      <c r="N83">
        <v>27</v>
      </c>
      <c r="O83" t="s">
        <v>52</v>
      </c>
      <c r="P83" t="s">
        <v>29</v>
      </c>
      <c r="Q83" t="s">
        <v>46</v>
      </c>
      <c r="R83" t="s">
        <v>60</v>
      </c>
      <c r="S83">
        <v>24.374500000000001</v>
      </c>
      <c r="T83">
        <v>88.604200000000006</v>
      </c>
    </row>
    <row r="84" spans="1:20" x14ac:dyDescent="0.25">
      <c r="A84" t="s">
        <v>174</v>
      </c>
      <c r="B84" s="1">
        <v>45374</v>
      </c>
      <c r="C84" s="1">
        <v>45382</v>
      </c>
      <c r="D84" t="s">
        <v>78</v>
      </c>
      <c r="E84" t="s">
        <v>22</v>
      </c>
      <c r="F84" t="s">
        <v>71</v>
      </c>
      <c r="G84" t="s">
        <v>43</v>
      </c>
      <c r="H84" t="s">
        <v>25</v>
      </c>
      <c r="I84">
        <v>777</v>
      </c>
      <c r="J84">
        <v>3</v>
      </c>
      <c r="K84">
        <v>2331</v>
      </c>
      <c r="L84" t="s">
        <v>65</v>
      </c>
      <c r="M84" t="s">
        <v>44</v>
      </c>
      <c r="N84">
        <v>32</v>
      </c>
      <c r="O84" t="s">
        <v>52</v>
      </c>
      <c r="P84" t="s">
        <v>45</v>
      </c>
      <c r="Q84" t="s">
        <v>46</v>
      </c>
      <c r="R84" t="s">
        <v>47</v>
      </c>
      <c r="S84">
        <v>22.3569</v>
      </c>
      <c r="T84">
        <v>91.783199999999994</v>
      </c>
    </row>
    <row r="85" spans="1:20" x14ac:dyDescent="0.25">
      <c r="A85" t="s">
        <v>175</v>
      </c>
      <c r="B85" s="1">
        <v>45375</v>
      </c>
      <c r="C85" s="1">
        <v>45382</v>
      </c>
      <c r="D85" t="s">
        <v>85</v>
      </c>
      <c r="E85" t="s">
        <v>22</v>
      </c>
      <c r="F85" t="s">
        <v>33</v>
      </c>
      <c r="G85" t="s">
        <v>72</v>
      </c>
      <c r="H85" t="s">
        <v>25</v>
      </c>
      <c r="I85">
        <v>1017</v>
      </c>
      <c r="J85">
        <v>25</v>
      </c>
      <c r="K85">
        <v>25425</v>
      </c>
      <c r="L85" t="s">
        <v>26</v>
      </c>
      <c r="M85" t="s">
        <v>51</v>
      </c>
      <c r="N85">
        <v>22</v>
      </c>
      <c r="O85" t="s">
        <v>87</v>
      </c>
      <c r="P85" t="s">
        <v>45</v>
      </c>
      <c r="Q85" t="s">
        <v>53</v>
      </c>
      <c r="R85" t="s">
        <v>62</v>
      </c>
      <c r="S85">
        <v>36.896900000000002</v>
      </c>
      <c r="T85">
        <v>30.7133</v>
      </c>
    </row>
    <row r="86" spans="1:20" x14ac:dyDescent="0.25">
      <c r="A86" t="s">
        <v>176</v>
      </c>
      <c r="B86" s="1">
        <v>45376</v>
      </c>
      <c r="C86" s="1">
        <v>45382</v>
      </c>
      <c r="D86" t="s">
        <v>41</v>
      </c>
      <c r="E86" t="s">
        <v>42</v>
      </c>
      <c r="F86" t="s">
        <v>23</v>
      </c>
      <c r="G86" t="s">
        <v>34</v>
      </c>
      <c r="H86" t="s">
        <v>25</v>
      </c>
      <c r="I86">
        <v>668</v>
      </c>
      <c r="J86">
        <v>43</v>
      </c>
      <c r="K86">
        <v>28724</v>
      </c>
      <c r="L86" t="s">
        <v>26</v>
      </c>
      <c r="M86" t="s">
        <v>51</v>
      </c>
      <c r="N86">
        <v>42</v>
      </c>
      <c r="O86" t="s">
        <v>59</v>
      </c>
      <c r="P86" t="s">
        <v>29</v>
      </c>
      <c r="Q86" t="s">
        <v>68</v>
      </c>
      <c r="R86" t="s">
        <v>88</v>
      </c>
      <c r="S86">
        <v>17.385000000000002</v>
      </c>
      <c r="T86">
        <v>78.486699999999999</v>
      </c>
    </row>
    <row r="87" spans="1:20" x14ac:dyDescent="0.25">
      <c r="A87" t="s">
        <v>177</v>
      </c>
      <c r="B87" s="1">
        <v>45377</v>
      </c>
      <c r="C87" s="1">
        <v>45382</v>
      </c>
      <c r="D87" t="s">
        <v>56</v>
      </c>
      <c r="E87" t="s">
        <v>57</v>
      </c>
      <c r="F87" t="s">
        <v>33</v>
      </c>
      <c r="G87" t="s">
        <v>34</v>
      </c>
      <c r="H87" t="s">
        <v>25</v>
      </c>
      <c r="I87">
        <v>1873</v>
      </c>
      <c r="J87">
        <v>19</v>
      </c>
      <c r="K87">
        <v>35587</v>
      </c>
      <c r="L87" t="s">
        <v>65</v>
      </c>
      <c r="M87" t="s">
        <v>51</v>
      </c>
      <c r="N87">
        <v>57</v>
      </c>
      <c r="O87" t="s">
        <v>37</v>
      </c>
      <c r="P87" t="s">
        <v>38</v>
      </c>
      <c r="Q87" t="s">
        <v>68</v>
      </c>
      <c r="R87" t="s">
        <v>91</v>
      </c>
      <c r="S87">
        <v>26.912400000000002</v>
      </c>
      <c r="T87">
        <v>75.787300000000002</v>
      </c>
    </row>
    <row r="88" spans="1:20" x14ac:dyDescent="0.25">
      <c r="A88" t="s">
        <v>178</v>
      </c>
      <c r="B88" s="1">
        <v>45378</v>
      </c>
      <c r="C88" s="1">
        <v>45382</v>
      </c>
      <c r="D88" t="s">
        <v>82</v>
      </c>
      <c r="E88" t="s">
        <v>50</v>
      </c>
      <c r="F88" t="s">
        <v>33</v>
      </c>
      <c r="G88" t="s">
        <v>43</v>
      </c>
      <c r="H88" t="s">
        <v>25</v>
      </c>
      <c r="I88">
        <v>513</v>
      </c>
      <c r="J88">
        <v>40</v>
      </c>
      <c r="K88">
        <v>20520</v>
      </c>
      <c r="L88" t="s">
        <v>26</v>
      </c>
      <c r="M88" t="s">
        <v>36</v>
      </c>
      <c r="N88">
        <v>32</v>
      </c>
      <c r="O88" t="s">
        <v>52</v>
      </c>
      <c r="P88" t="s">
        <v>45</v>
      </c>
      <c r="Q88" t="s">
        <v>53</v>
      </c>
      <c r="R88" t="s">
        <v>100</v>
      </c>
      <c r="S88">
        <v>39.933399999999999</v>
      </c>
      <c r="T88">
        <v>32.859699999999997</v>
      </c>
    </row>
    <row r="89" spans="1:20" x14ac:dyDescent="0.25">
      <c r="A89" t="s">
        <v>179</v>
      </c>
      <c r="B89" s="1">
        <v>45379</v>
      </c>
      <c r="C89" s="1">
        <v>45382</v>
      </c>
      <c r="D89" t="s">
        <v>21</v>
      </c>
      <c r="E89" t="s">
        <v>22</v>
      </c>
      <c r="F89" t="s">
        <v>33</v>
      </c>
      <c r="G89" t="s">
        <v>34</v>
      </c>
      <c r="H89" t="s">
        <v>25</v>
      </c>
      <c r="I89">
        <v>541</v>
      </c>
      <c r="J89">
        <v>32</v>
      </c>
      <c r="K89">
        <v>17312</v>
      </c>
      <c r="L89" t="s">
        <v>26</v>
      </c>
      <c r="M89" t="s">
        <v>27</v>
      </c>
      <c r="N89">
        <v>51</v>
      </c>
      <c r="O89" t="s">
        <v>37</v>
      </c>
      <c r="P89" t="s">
        <v>45</v>
      </c>
      <c r="Q89" t="s">
        <v>46</v>
      </c>
      <c r="R89" t="s">
        <v>111</v>
      </c>
      <c r="S89">
        <v>22.845600000000001</v>
      </c>
      <c r="T89">
        <v>89.540300000000002</v>
      </c>
    </row>
    <row r="90" spans="1:20" x14ac:dyDescent="0.25">
      <c r="A90" t="s">
        <v>180</v>
      </c>
      <c r="B90" s="1">
        <v>45380</v>
      </c>
      <c r="C90" s="1">
        <v>45382</v>
      </c>
      <c r="D90" t="s">
        <v>146</v>
      </c>
      <c r="E90" t="s">
        <v>57</v>
      </c>
      <c r="F90" t="s">
        <v>23</v>
      </c>
      <c r="G90" t="s">
        <v>24</v>
      </c>
      <c r="H90" t="s">
        <v>25</v>
      </c>
      <c r="I90">
        <v>454</v>
      </c>
      <c r="J90">
        <v>3</v>
      </c>
      <c r="K90">
        <v>1362</v>
      </c>
      <c r="L90" t="s">
        <v>26</v>
      </c>
      <c r="M90" t="s">
        <v>27</v>
      </c>
      <c r="N90">
        <v>28</v>
      </c>
      <c r="O90" t="s">
        <v>52</v>
      </c>
      <c r="P90" t="s">
        <v>45</v>
      </c>
      <c r="Q90" t="s">
        <v>53</v>
      </c>
      <c r="R90" t="s">
        <v>54</v>
      </c>
      <c r="S90">
        <v>40.1828</v>
      </c>
      <c r="T90">
        <v>29.066500000000001</v>
      </c>
    </row>
    <row r="91" spans="1:20" x14ac:dyDescent="0.25">
      <c r="A91" t="s">
        <v>181</v>
      </c>
      <c r="B91" s="1">
        <v>45381</v>
      </c>
      <c r="C91" s="1">
        <v>45382</v>
      </c>
      <c r="D91" t="s">
        <v>56</v>
      </c>
      <c r="E91" t="s">
        <v>57</v>
      </c>
      <c r="F91" t="s">
        <v>23</v>
      </c>
      <c r="G91" t="s">
        <v>34</v>
      </c>
      <c r="H91" t="s">
        <v>25</v>
      </c>
      <c r="I91">
        <v>1810</v>
      </c>
      <c r="J91">
        <v>20</v>
      </c>
      <c r="K91">
        <v>36200</v>
      </c>
      <c r="L91" t="s">
        <v>65</v>
      </c>
      <c r="M91" t="s">
        <v>36</v>
      </c>
      <c r="N91">
        <v>48</v>
      </c>
      <c r="O91" t="s">
        <v>59</v>
      </c>
      <c r="P91" t="s">
        <v>45</v>
      </c>
      <c r="Q91" t="s">
        <v>68</v>
      </c>
      <c r="R91" t="s">
        <v>127</v>
      </c>
      <c r="S91">
        <v>26.846699999999998</v>
      </c>
      <c r="T91">
        <v>80.946200000000005</v>
      </c>
    </row>
    <row r="92" spans="1:20" x14ac:dyDescent="0.25">
      <c r="A92" t="s">
        <v>182</v>
      </c>
      <c r="B92" s="1">
        <v>45382</v>
      </c>
      <c r="C92" s="1">
        <v>45382</v>
      </c>
      <c r="D92" t="s">
        <v>64</v>
      </c>
      <c r="E92" t="s">
        <v>50</v>
      </c>
      <c r="F92" t="s">
        <v>33</v>
      </c>
      <c r="G92" t="s">
        <v>58</v>
      </c>
      <c r="H92" t="s">
        <v>25</v>
      </c>
      <c r="I92">
        <v>805</v>
      </c>
      <c r="J92">
        <v>19</v>
      </c>
      <c r="K92">
        <v>15295</v>
      </c>
      <c r="L92" t="s">
        <v>65</v>
      </c>
      <c r="M92" t="s">
        <v>27</v>
      </c>
      <c r="N92">
        <v>30</v>
      </c>
      <c r="O92" t="s">
        <v>52</v>
      </c>
      <c r="P92" t="s">
        <v>45</v>
      </c>
      <c r="Q92" t="s">
        <v>68</v>
      </c>
      <c r="R92" t="s">
        <v>83</v>
      </c>
      <c r="S92">
        <v>28.7041</v>
      </c>
      <c r="T92">
        <v>77.102500000000006</v>
      </c>
    </row>
    <row r="93" spans="1:20" x14ac:dyDescent="0.25">
      <c r="A93" t="s">
        <v>183</v>
      </c>
      <c r="B93" s="1">
        <v>45383</v>
      </c>
      <c r="C93" s="1">
        <v>45412</v>
      </c>
      <c r="D93" t="s">
        <v>49</v>
      </c>
      <c r="E93" t="s">
        <v>50</v>
      </c>
      <c r="F93" t="s">
        <v>33</v>
      </c>
      <c r="G93" t="s">
        <v>34</v>
      </c>
      <c r="H93" t="s">
        <v>25</v>
      </c>
      <c r="I93">
        <v>326</v>
      </c>
      <c r="J93">
        <v>66</v>
      </c>
      <c r="K93">
        <v>21516</v>
      </c>
      <c r="L93" t="s">
        <v>65</v>
      </c>
      <c r="M93" t="s">
        <v>36</v>
      </c>
      <c r="N93">
        <v>43</v>
      </c>
      <c r="O93" t="s">
        <v>59</v>
      </c>
      <c r="P93" t="s">
        <v>38</v>
      </c>
      <c r="Q93" t="s">
        <v>68</v>
      </c>
      <c r="R93" t="s">
        <v>127</v>
      </c>
      <c r="S93">
        <v>26.846699999999998</v>
      </c>
      <c r="T93">
        <v>80.946200000000005</v>
      </c>
    </row>
    <row r="94" spans="1:20" x14ac:dyDescent="0.25">
      <c r="A94" t="s">
        <v>184</v>
      </c>
      <c r="B94" s="1">
        <v>45384</v>
      </c>
      <c r="C94" s="1">
        <v>45412</v>
      </c>
      <c r="D94" t="s">
        <v>159</v>
      </c>
      <c r="E94" t="s">
        <v>103</v>
      </c>
      <c r="F94" t="s">
        <v>33</v>
      </c>
      <c r="G94" t="s">
        <v>43</v>
      </c>
      <c r="H94" t="s">
        <v>104</v>
      </c>
      <c r="I94">
        <v>456</v>
      </c>
      <c r="J94">
        <v>93</v>
      </c>
      <c r="K94">
        <v>42408</v>
      </c>
      <c r="L94" t="s">
        <v>26</v>
      </c>
      <c r="M94" t="s">
        <v>36</v>
      </c>
      <c r="N94">
        <v>56</v>
      </c>
      <c r="O94" t="s">
        <v>37</v>
      </c>
      <c r="P94" t="s">
        <v>29</v>
      </c>
      <c r="Q94" t="s">
        <v>46</v>
      </c>
      <c r="R94" t="s">
        <v>118</v>
      </c>
      <c r="S94">
        <v>24.8949</v>
      </c>
      <c r="T94">
        <v>91.868700000000004</v>
      </c>
    </row>
    <row r="95" spans="1:20" x14ac:dyDescent="0.25">
      <c r="A95" t="s">
        <v>185</v>
      </c>
      <c r="B95" s="1">
        <v>45385</v>
      </c>
      <c r="C95" s="1">
        <v>45412</v>
      </c>
      <c r="D95" t="s">
        <v>41</v>
      </c>
      <c r="E95" t="s">
        <v>42</v>
      </c>
      <c r="F95" t="s">
        <v>33</v>
      </c>
      <c r="G95" t="s">
        <v>43</v>
      </c>
      <c r="H95" t="s">
        <v>25</v>
      </c>
      <c r="I95">
        <v>634</v>
      </c>
      <c r="J95">
        <v>84</v>
      </c>
      <c r="K95">
        <v>53256</v>
      </c>
      <c r="L95" t="s">
        <v>26</v>
      </c>
      <c r="M95" t="s">
        <v>27</v>
      </c>
      <c r="N95">
        <v>61</v>
      </c>
      <c r="O95" t="s">
        <v>66</v>
      </c>
      <c r="P95" t="s">
        <v>29</v>
      </c>
      <c r="Q95" t="s">
        <v>68</v>
      </c>
      <c r="R95" t="s">
        <v>121</v>
      </c>
      <c r="S95">
        <v>12.9716</v>
      </c>
      <c r="T95">
        <v>77.5946</v>
      </c>
    </row>
    <row r="96" spans="1:20" x14ac:dyDescent="0.25">
      <c r="A96" t="s">
        <v>186</v>
      </c>
      <c r="B96" s="1">
        <v>45386</v>
      </c>
      <c r="C96" s="1">
        <v>45412</v>
      </c>
      <c r="D96" t="s">
        <v>80</v>
      </c>
      <c r="E96" t="s">
        <v>42</v>
      </c>
      <c r="F96" t="s">
        <v>33</v>
      </c>
      <c r="G96" t="s">
        <v>72</v>
      </c>
      <c r="H96" t="s">
        <v>25</v>
      </c>
      <c r="I96">
        <v>573</v>
      </c>
      <c r="J96">
        <v>45</v>
      </c>
      <c r="K96">
        <v>25785</v>
      </c>
      <c r="L96" t="s">
        <v>26</v>
      </c>
      <c r="M96" t="s">
        <v>51</v>
      </c>
      <c r="N96">
        <v>19</v>
      </c>
      <c r="O96" t="s">
        <v>87</v>
      </c>
      <c r="P96" t="s">
        <v>45</v>
      </c>
      <c r="Q96" t="s">
        <v>53</v>
      </c>
      <c r="R96" t="s">
        <v>62</v>
      </c>
      <c r="S96">
        <v>36.896900000000002</v>
      </c>
      <c r="T96">
        <v>30.7133</v>
      </c>
    </row>
    <row r="97" spans="1:20" x14ac:dyDescent="0.25">
      <c r="A97" t="s">
        <v>187</v>
      </c>
      <c r="B97" s="1">
        <v>45387</v>
      </c>
      <c r="C97" s="1">
        <v>45412</v>
      </c>
      <c r="D97" t="s">
        <v>49</v>
      </c>
      <c r="E97" t="s">
        <v>50</v>
      </c>
      <c r="F97" t="s">
        <v>23</v>
      </c>
      <c r="G97" t="s">
        <v>34</v>
      </c>
      <c r="H97" t="s">
        <v>25</v>
      </c>
      <c r="I97">
        <v>323</v>
      </c>
      <c r="J97">
        <v>65</v>
      </c>
      <c r="K97">
        <v>20995</v>
      </c>
      <c r="L97" t="s">
        <v>26</v>
      </c>
      <c r="M97" t="s">
        <v>36</v>
      </c>
      <c r="N97">
        <v>38</v>
      </c>
      <c r="O97" t="s">
        <v>28</v>
      </c>
      <c r="P97" t="s">
        <v>29</v>
      </c>
      <c r="Q97" t="s">
        <v>68</v>
      </c>
      <c r="R97" t="s">
        <v>98</v>
      </c>
      <c r="S97">
        <v>22.572600000000001</v>
      </c>
      <c r="T97">
        <v>88.363900000000001</v>
      </c>
    </row>
    <row r="98" spans="1:20" x14ac:dyDescent="0.25">
      <c r="A98" t="s">
        <v>188</v>
      </c>
      <c r="B98" s="1">
        <v>45388</v>
      </c>
      <c r="C98" s="1">
        <v>45412</v>
      </c>
      <c r="D98" t="s">
        <v>80</v>
      </c>
      <c r="E98" t="s">
        <v>42</v>
      </c>
      <c r="F98" t="s">
        <v>33</v>
      </c>
      <c r="G98" t="s">
        <v>24</v>
      </c>
      <c r="H98" t="s">
        <v>25</v>
      </c>
      <c r="I98">
        <v>501</v>
      </c>
      <c r="J98">
        <v>54</v>
      </c>
      <c r="K98">
        <v>27054</v>
      </c>
      <c r="L98" t="s">
        <v>35</v>
      </c>
      <c r="M98" t="s">
        <v>44</v>
      </c>
      <c r="N98">
        <v>46</v>
      </c>
      <c r="O98" t="s">
        <v>59</v>
      </c>
      <c r="P98" t="s">
        <v>29</v>
      </c>
      <c r="Q98" t="s">
        <v>68</v>
      </c>
      <c r="R98" t="s">
        <v>83</v>
      </c>
      <c r="S98">
        <v>28.7041</v>
      </c>
      <c r="T98">
        <v>77.102500000000006</v>
      </c>
    </row>
    <row r="99" spans="1:20" x14ac:dyDescent="0.25">
      <c r="A99" t="s">
        <v>189</v>
      </c>
      <c r="B99" s="1">
        <v>45389</v>
      </c>
      <c r="C99" s="1">
        <v>45412</v>
      </c>
      <c r="D99" t="s">
        <v>82</v>
      </c>
      <c r="E99" t="s">
        <v>50</v>
      </c>
      <c r="F99" t="s">
        <v>71</v>
      </c>
      <c r="G99" t="s">
        <v>24</v>
      </c>
      <c r="H99" t="s">
        <v>25</v>
      </c>
      <c r="I99">
        <v>518</v>
      </c>
      <c r="J99">
        <v>61</v>
      </c>
      <c r="K99">
        <v>31598</v>
      </c>
      <c r="L99" t="s">
        <v>26</v>
      </c>
      <c r="M99" t="s">
        <v>51</v>
      </c>
      <c r="N99">
        <v>18</v>
      </c>
      <c r="O99" t="s">
        <v>87</v>
      </c>
      <c r="P99" t="s">
        <v>45</v>
      </c>
      <c r="Q99" t="s">
        <v>46</v>
      </c>
      <c r="R99" t="s">
        <v>76</v>
      </c>
      <c r="S99">
        <v>23.810300000000002</v>
      </c>
      <c r="T99">
        <v>90.412499999999994</v>
      </c>
    </row>
    <row r="100" spans="1:20" x14ac:dyDescent="0.25">
      <c r="A100" t="s">
        <v>190</v>
      </c>
      <c r="B100" s="1">
        <v>45390</v>
      </c>
      <c r="C100" s="1">
        <v>45412</v>
      </c>
      <c r="D100" t="s">
        <v>120</v>
      </c>
      <c r="E100" t="s">
        <v>57</v>
      </c>
      <c r="F100" t="s">
        <v>71</v>
      </c>
      <c r="G100" t="s">
        <v>24</v>
      </c>
      <c r="H100" t="s">
        <v>25</v>
      </c>
      <c r="I100">
        <v>398</v>
      </c>
      <c r="J100">
        <v>21</v>
      </c>
      <c r="K100">
        <v>8358</v>
      </c>
      <c r="L100" t="s">
        <v>26</v>
      </c>
      <c r="M100" t="s">
        <v>27</v>
      </c>
      <c r="N100">
        <v>62</v>
      </c>
      <c r="O100" t="s">
        <v>66</v>
      </c>
      <c r="P100" t="s">
        <v>45</v>
      </c>
      <c r="Q100" t="s">
        <v>53</v>
      </c>
      <c r="R100" t="s">
        <v>62</v>
      </c>
      <c r="S100">
        <v>36.896900000000002</v>
      </c>
      <c r="T100">
        <v>30.7133</v>
      </c>
    </row>
    <row r="101" spans="1:20" x14ac:dyDescent="0.25">
      <c r="A101" t="s">
        <v>191</v>
      </c>
      <c r="B101" s="1">
        <v>45391</v>
      </c>
      <c r="C101" s="1">
        <v>45412</v>
      </c>
      <c r="D101" t="s">
        <v>78</v>
      </c>
      <c r="E101" t="s">
        <v>22</v>
      </c>
      <c r="F101" t="s">
        <v>33</v>
      </c>
      <c r="G101" t="s">
        <v>34</v>
      </c>
      <c r="H101" t="s">
        <v>25</v>
      </c>
      <c r="I101">
        <v>735</v>
      </c>
      <c r="J101">
        <v>28</v>
      </c>
      <c r="K101">
        <v>20580</v>
      </c>
      <c r="L101" t="s">
        <v>35</v>
      </c>
      <c r="M101" t="s">
        <v>51</v>
      </c>
      <c r="N101">
        <v>38</v>
      </c>
      <c r="O101" t="s">
        <v>28</v>
      </c>
      <c r="P101" t="s">
        <v>29</v>
      </c>
      <c r="Q101" t="s">
        <v>53</v>
      </c>
      <c r="R101" t="s">
        <v>62</v>
      </c>
      <c r="S101">
        <v>36.896900000000002</v>
      </c>
      <c r="T101">
        <v>30.7133</v>
      </c>
    </row>
    <row r="102" spans="1:20" x14ac:dyDescent="0.25">
      <c r="A102" t="s">
        <v>192</v>
      </c>
      <c r="B102" s="1">
        <v>45392</v>
      </c>
      <c r="C102" s="1">
        <v>45412</v>
      </c>
      <c r="D102" t="s">
        <v>102</v>
      </c>
      <c r="E102" t="s">
        <v>103</v>
      </c>
      <c r="F102" t="s">
        <v>71</v>
      </c>
      <c r="G102" t="s">
        <v>34</v>
      </c>
      <c r="H102" t="s">
        <v>104</v>
      </c>
      <c r="I102">
        <v>1032</v>
      </c>
      <c r="J102">
        <v>9</v>
      </c>
      <c r="K102">
        <v>9288</v>
      </c>
      <c r="L102" t="s">
        <v>65</v>
      </c>
      <c r="M102" t="s">
        <v>51</v>
      </c>
      <c r="N102">
        <v>26</v>
      </c>
      <c r="O102" t="s">
        <v>52</v>
      </c>
      <c r="P102" t="s">
        <v>29</v>
      </c>
      <c r="Q102" t="s">
        <v>68</v>
      </c>
      <c r="R102" t="s">
        <v>83</v>
      </c>
      <c r="S102">
        <v>28.7041</v>
      </c>
      <c r="T102">
        <v>77.102500000000006</v>
      </c>
    </row>
    <row r="103" spans="1:20" x14ac:dyDescent="0.25">
      <c r="A103" t="s">
        <v>193</v>
      </c>
      <c r="B103" s="1">
        <v>45393</v>
      </c>
      <c r="C103" s="1">
        <v>45412</v>
      </c>
      <c r="D103" t="s">
        <v>96</v>
      </c>
      <c r="E103" t="s">
        <v>42</v>
      </c>
      <c r="F103" t="s">
        <v>71</v>
      </c>
      <c r="G103" t="s">
        <v>24</v>
      </c>
      <c r="H103" t="s">
        <v>25</v>
      </c>
      <c r="I103">
        <v>875</v>
      </c>
      <c r="J103">
        <v>80</v>
      </c>
      <c r="K103">
        <v>70000</v>
      </c>
      <c r="L103" t="s">
        <v>26</v>
      </c>
      <c r="M103" t="s">
        <v>51</v>
      </c>
      <c r="N103">
        <v>60</v>
      </c>
      <c r="O103" t="s">
        <v>66</v>
      </c>
      <c r="P103" t="s">
        <v>29</v>
      </c>
      <c r="Q103" t="s">
        <v>53</v>
      </c>
      <c r="R103" t="s">
        <v>94</v>
      </c>
      <c r="S103">
        <v>38.419199999999996</v>
      </c>
      <c r="T103">
        <v>27.128699999999998</v>
      </c>
    </row>
    <row r="104" spans="1:20" x14ac:dyDescent="0.25">
      <c r="A104" t="s">
        <v>194</v>
      </c>
      <c r="B104" s="1">
        <v>45394</v>
      </c>
      <c r="C104" s="1">
        <v>45412</v>
      </c>
      <c r="D104" t="s">
        <v>126</v>
      </c>
      <c r="E104" t="s">
        <v>103</v>
      </c>
      <c r="F104" t="s">
        <v>23</v>
      </c>
      <c r="G104" t="s">
        <v>58</v>
      </c>
      <c r="H104" t="s">
        <v>104</v>
      </c>
      <c r="I104">
        <v>872</v>
      </c>
      <c r="J104">
        <v>54</v>
      </c>
      <c r="K104">
        <v>47088</v>
      </c>
      <c r="L104" t="s">
        <v>26</v>
      </c>
      <c r="M104" t="s">
        <v>27</v>
      </c>
      <c r="N104">
        <v>55</v>
      </c>
      <c r="O104" t="s">
        <v>37</v>
      </c>
      <c r="P104" t="s">
        <v>29</v>
      </c>
      <c r="Q104" t="s">
        <v>68</v>
      </c>
      <c r="R104" t="s">
        <v>195</v>
      </c>
      <c r="S104">
        <v>19.076000000000001</v>
      </c>
      <c r="T104">
        <v>72.877700000000004</v>
      </c>
    </row>
    <row r="105" spans="1:20" x14ac:dyDescent="0.25">
      <c r="A105" t="s">
        <v>196</v>
      </c>
      <c r="B105" s="1">
        <v>45395</v>
      </c>
      <c r="C105" s="1">
        <v>45412</v>
      </c>
      <c r="D105" t="s">
        <v>129</v>
      </c>
      <c r="E105" t="s">
        <v>103</v>
      </c>
      <c r="F105" t="s">
        <v>71</v>
      </c>
      <c r="G105" t="s">
        <v>34</v>
      </c>
      <c r="H105" t="s">
        <v>104</v>
      </c>
      <c r="I105">
        <v>1160</v>
      </c>
      <c r="J105">
        <v>49</v>
      </c>
      <c r="K105">
        <v>56840</v>
      </c>
      <c r="L105" t="s">
        <v>35</v>
      </c>
      <c r="M105" t="s">
        <v>36</v>
      </c>
      <c r="N105">
        <v>39</v>
      </c>
      <c r="O105" t="s">
        <v>28</v>
      </c>
      <c r="P105" t="s">
        <v>45</v>
      </c>
      <c r="Q105" t="s">
        <v>53</v>
      </c>
      <c r="R105" t="s">
        <v>62</v>
      </c>
      <c r="S105">
        <v>36.896900000000002</v>
      </c>
      <c r="T105">
        <v>30.7133</v>
      </c>
    </row>
    <row r="106" spans="1:20" x14ac:dyDescent="0.25">
      <c r="A106" t="s">
        <v>197</v>
      </c>
      <c r="B106" s="1">
        <v>45396</v>
      </c>
      <c r="C106" s="1">
        <v>45412</v>
      </c>
      <c r="D106" t="s">
        <v>146</v>
      </c>
      <c r="E106" t="s">
        <v>57</v>
      </c>
      <c r="F106" t="s">
        <v>33</v>
      </c>
      <c r="G106" t="s">
        <v>58</v>
      </c>
      <c r="H106" t="s">
        <v>25</v>
      </c>
      <c r="I106">
        <v>442</v>
      </c>
      <c r="J106">
        <v>79</v>
      </c>
      <c r="K106">
        <v>34918</v>
      </c>
      <c r="L106" t="s">
        <v>65</v>
      </c>
      <c r="M106" t="s">
        <v>27</v>
      </c>
      <c r="N106">
        <v>46</v>
      </c>
      <c r="O106" t="s">
        <v>59</v>
      </c>
      <c r="P106" t="s">
        <v>45</v>
      </c>
      <c r="Q106" t="s">
        <v>46</v>
      </c>
      <c r="R106" t="s">
        <v>47</v>
      </c>
      <c r="S106">
        <v>22.3569</v>
      </c>
      <c r="T106">
        <v>91.783199999999994</v>
      </c>
    </row>
    <row r="107" spans="1:20" x14ac:dyDescent="0.25">
      <c r="A107" t="s">
        <v>198</v>
      </c>
      <c r="B107" s="1">
        <v>45397</v>
      </c>
      <c r="C107" s="1">
        <v>45412</v>
      </c>
      <c r="D107" t="s">
        <v>78</v>
      </c>
      <c r="E107" t="s">
        <v>22</v>
      </c>
      <c r="F107" t="s">
        <v>33</v>
      </c>
      <c r="G107" t="s">
        <v>24</v>
      </c>
      <c r="H107" t="s">
        <v>25</v>
      </c>
      <c r="I107">
        <v>782</v>
      </c>
      <c r="J107">
        <v>23</v>
      </c>
      <c r="K107">
        <v>17986</v>
      </c>
      <c r="L107" t="s">
        <v>26</v>
      </c>
      <c r="M107" t="s">
        <v>44</v>
      </c>
      <c r="N107">
        <v>33</v>
      </c>
      <c r="O107" t="s">
        <v>52</v>
      </c>
      <c r="P107" t="s">
        <v>29</v>
      </c>
      <c r="Q107" t="s">
        <v>53</v>
      </c>
      <c r="R107" t="s">
        <v>73</v>
      </c>
      <c r="S107">
        <v>41.008200000000002</v>
      </c>
      <c r="T107">
        <v>28.978400000000001</v>
      </c>
    </row>
    <row r="108" spans="1:20" x14ac:dyDescent="0.25">
      <c r="A108" t="s">
        <v>199</v>
      </c>
      <c r="B108" s="1">
        <v>45398</v>
      </c>
      <c r="C108" s="1">
        <v>45412</v>
      </c>
      <c r="D108" t="s">
        <v>120</v>
      </c>
      <c r="E108" t="s">
        <v>57</v>
      </c>
      <c r="F108" t="s">
        <v>23</v>
      </c>
      <c r="G108" t="s">
        <v>24</v>
      </c>
      <c r="H108" t="s">
        <v>25</v>
      </c>
      <c r="I108">
        <v>375</v>
      </c>
      <c r="J108">
        <v>19</v>
      </c>
      <c r="K108">
        <v>7125</v>
      </c>
      <c r="L108" t="s">
        <v>35</v>
      </c>
      <c r="M108" t="s">
        <v>36</v>
      </c>
      <c r="N108">
        <v>33</v>
      </c>
      <c r="O108" t="s">
        <v>52</v>
      </c>
      <c r="P108" t="s">
        <v>45</v>
      </c>
      <c r="Q108" t="s">
        <v>53</v>
      </c>
      <c r="R108" t="s">
        <v>54</v>
      </c>
      <c r="S108">
        <v>40.1828</v>
      </c>
      <c r="T108">
        <v>29.066500000000001</v>
      </c>
    </row>
    <row r="109" spans="1:20" x14ac:dyDescent="0.25">
      <c r="A109" t="s">
        <v>200</v>
      </c>
      <c r="B109" s="1">
        <v>45399</v>
      </c>
      <c r="C109" s="1">
        <v>45412</v>
      </c>
      <c r="D109" t="s">
        <v>80</v>
      </c>
      <c r="E109" t="s">
        <v>42</v>
      </c>
      <c r="F109" t="s">
        <v>71</v>
      </c>
      <c r="G109" t="s">
        <v>34</v>
      </c>
      <c r="H109" t="s">
        <v>25</v>
      </c>
      <c r="I109">
        <v>584</v>
      </c>
      <c r="J109">
        <v>21</v>
      </c>
      <c r="K109">
        <v>12264</v>
      </c>
      <c r="L109" t="s">
        <v>65</v>
      </c>
      <c r="M109" t="s">
        <v>51</v>
      </c>
      <c r="N109">
        <v>38</v>
      </c>
      <c r="O109" t="s">
        <v>28</v>
      </c>
      <c r="P109" t="s">
        <v>45</v>
      </c>
      <c r="Q109" t="s">
        <v>68</v>
      </c>
      <c r="R109" t="s">
        <v>83</v>
      </c>
      <c r="S109">
        <v>28.7041</v>
      </c>
      <c r="T109">
        <v>77.102500000000006</v>
      </c>
    </row>
    <row r="110" spans="1:20" x14ac:dyDescent="0.25">
      <c r="A110" t="s">
        <v>201</v>
      </c>
      <c r="B110" s="1">
        <v>45400</v>
      </c>
      <c r="C110" s="1">
        <v>45412</v>
      </c>
      <c r="D110" t="s">
        <v>64</v>
      </c>
      <c r="E110" t="s">
        <v>50</v>
      </c>
      <c r="F110" t="s">
        <v>23</v>
      </c>
      <c r="G110" t="s">
        <v>24</v>
      </c>
      <c r="H110" t="s">
        <v>25</v>
      </c>
      <c r="I110">
        <v>837</v>
      </c>
      <c r="J110">
        <v>83</v>
      </c>
      <c r="K110">
        <v>69471</v>
      </c>
      <c r="L110" t="s">
        <v>65</v>
      </c>
      <c r="M110" t="s">
        <v>36</v>
      </c>
      <c r="N110">
        <v>41</v>
      </c>
      <c r="O110" t="s">
        <v>28</v>
      </c>
      <c r="P110" t="s">
        <v>45</v>
      </c>
      <c r="Q110" t="s">
        <v>30</v>
      </c>
      <c r="R110" t="s">
        <v>202</v>
      </c>
      <c r="S110">
        <v>24.860700000000001</v>
      </c>
      <c r="T110">
        <v>67.001099999999994</v>
      </c>
    </row>
    <row r="111" spans="1:20" x14ac:dyDescent="0.25">
      <c r="A111" t="s">
        <v>203</v>
      </c>
      <c r="B111" s="1">
        <v>45401</v>
      </c>
      <c r="C111" s="1">
        <v>45412</v>
      </c>
      <c r="D111" t="s">
        <v>21</v>
      </c>
      <c r="E111" t="s">
        <v>22</v>
      </c>
      <c r="F111" t="s">
        <v>71</v>
      </c>
      <c r="G111" t="s">
        <v>58</v>
      </c>
      <c r="H111" t="s">
        <v>25</v>
      </c>
      <c r="I111">
        <v>547</v>
      </c>
      <c r="J111">
        <v>3</v>
      </c>
      <c r="K111">
        <v>1641</v>
      </c>
      <c r="L111" t="s">
        <v>35</v>
      </c>
      <c r="M111" t="s">
        <v>51</v>
      </c>
      <c r="N111">
        <v>32</v>
      </c>
      <c r="O111" t="s">
        <v>52</v>
      </c>
      <c r="P111" t="s">
        <v>45</v>
      </c>
      <c r="Q111" t="s">
        <v>53</v>
      </c>
      <c r="R111" t="s">
        <v>94</v>
      </c>
      <c r="S111">
        <v>38.419199999999996</v>
      </c>
      <c r="T111">
        <v>27.128699999999998</v>
      </c>
    </row>
    <row r="112" spans="1:20" x14ac:dyDescent="0.25">
      <c r="A112" t="s">
        <v>204</v>
      </c>
      <c r="B112" s="1">
        <v>45402</v>
      </c>
      <c r="C112" s="1">
        <v>45412</v>
      </c>
      <c r="D112" t="s">
        <v>78</v>
      </c>
      <c r="E112" t="s">
        <v>22</v>
      </c>
      <c r="F112" t="s">
        <v>33</v>
      </c>
      <c r="G112" t="s">
        <v>34</v>
      </c>
      <c r="H112" t="s">
        <v>25</v>
      </c>
      <c r="I112">
        <v>741</v>
      </c>
      <c r="J112">
        <v>73</v>
      </c>
      <c r="K112">
        <v>54093</v>
      </c>
      <c r="L112" t="s">
        <v>65</v>
      </c>
      <c r="M112" t="s">
        <v>27</v>
      </c>
      <c r="N112">
        <v>22</v>
      </c>
      <c r="O112" t="s">
        <v>87</v>
      </c>
      <c r="P112" t="s">
        <v>38</v>
      </c>
      <c r="Q112" t="s">
        <v>53</v>
      </c>
      <c r="R112" t="s">
        <v>73</v>
      </c>
      <c r="S112">
        <v>41.008200000000002</v>
      </c>
      <c r="T112">
        <v>28.978400000000001</v>
      </c>
    </row>
    <row r="113" spans="1:20" x14ac:dyDescent="0.25">
      <c r="A113" t="s">
        <v>205</v>
      </c>
      <c r="B113" s="1">
        <v>45403</v>
      </c>
      <c r="C113" s="1">
        <v>45412</v>
      </c>
      <c r="D113" t="s">
        <v>131</v>
      </c>
      <c r="E113" t="s">
        <v>103</v>
      </c>
      <c r="F113" t="s">
        <v>71</v>
      </c>
      <c r="G113" t="s">
        <v>24</v>
      </c>
      <c r="H113" t="s">
        <v>104</v>
      </c>
      <c r="I113">
        <v>836</v>
      </c>
      <c r="J113">
        <v>66</v>
      </c>
      <c r="K113">
        <v>55176</v>
      </c>
      <c r="L113" t="s">
        <v>26</v>
      </c>
      <c r="M113" t="s">
        <v>51</v>
      </c>
      <c r="N113">
        <v>49</v>
      </c>
      <c r="O113" t="s">
        <v>59</v>
      </c>
      <c r="P113" t="s">
        <v>29</v>
      </c>
      <c r="Q113" t="s">
        <v>68</v>
      </c>
      <c r="R113" t="s">
        <v>127</v>
      </c>
      <c r="S113">
        <v>26.846699999999998</v>
      </c>
      <c r="T113">
        <v>80.946200000000005</v>
      </c>
    </row>
    <row r="114" spans="1:20" x14ac:dyDescent="0.25">
      <c r="A114" t="s">
        <v>206</v>
      </c>
      <c r="B114" s="1">
        <v>45404</v>
      </c>
      <c r="C114" s="1">
        <v>45412</v>
      </c>
      <c r="D114" t="s">
        <v>85</v>
      </c>
      <c r="E114" t="s">
        <v>22</v>
      </c>
      <c r="F114" t="s">
        <v>23</v>
      </c>
      <c r="G114" t="s">
        <v>34</v>
      </c>
      <c r="H114" t="s">
        <v>25</v>
      </c>
      <c r="I114">
        <v>1036</v>
      </c>
      <c r="J114">
        <v>69</v>
      </c>
      <c r="K114">
        <v>71484</v>
      </c>
      <c r="L114" t="s">
        <v>65</v>
      </c>
      <c r="M114" t="s">
        <v>27</v>
      </c>
      <c r="N114">
        <v>44</v>
      </c>
      <c r="O114" t="s">
        <v>59</v>
      </c>
      <c r="P114" t="s">
        <v>38</v>
      </c>
      <c r="Q114" t="s">
        <v>46</v>
      </c>
      <c r="R114" t="s">
        <v>76</v>
      </c>
      <c r="S114">
        <v>23.810300000000002</v>
      </c>
      <c r="T114">
        <v>90.412499999999994</v>
      </c>
    </row>
    <row r="115" spans="1:20" x14ac:dyDescent="0.25">
      <c r="A115" t="s">
        <v>207</v>
      </c>
      <c r="B115" s="1">
        <v>45405</v>
      </c>
      <c r="C115" s="1">
        <v>45412</v>
      </c>
      <c r="D115" t="s">
        <v>78</v>
      </c>
      <c r="E115" t="s">
        <v>22</v>
      </c>
      <c r="F115" t="s">
        <v>33</v>
      </c>
      <c r="G115" t="s">
        <v>58</v>
      </c>
      <c r="H115" t="s">
        <v>25</v>
      </c>
      <c r="I115">
        <v>725</v>
      </c>
      <c r="J115">
        <v>79</v>
      </c>
      <c r="K115">
        <v>57275</v>
      </c>
      <c r="L115" t="s">
        <v>65</v>
      </c>
      <c r="M115" t="s">
        <v>44</v>
      </c>
      <c r="N115">
        <v>44</v>
      </c>
      <c r="O115" t="s">
        <v>59</v>
      </c>
      <c r="P115" t="s">
        <v>45</v>
      </c>
      <c r="Q115" t="s">
        <v>68</v>
      </c>
      <c r="R115" t="s">
        <v>88</v>
      </c>
      <c r="S115">
        <v>17.385000000000002</v>
      </c>
      <c r="T115">
        <v>78.486699999999999</v>
      </c>
    </row>
    <row r="116" spans="1:20" x14ac:dyDescent="0.25">
      <c r="A116" t="s">
        <v>208</v>
      </c>
      <c r="B116" s="1">
        <v>45406</v>
      </c>
      <c r="C116" s="1">
        <v>45412</v>
      </c>
      <c r="D116" t="s">
        <v>85</v>
      </c>
      <c r="E116" t="s">
        <v>22</v>
      </c>
      <c r="F116" t="s">
        <v>23</v>
      </c>
      <c r="G116" t="s">
        <v>43</v>
      </c>
      <c r="H116" t="s">
        <v>25</v>
      </c>
      <c r="I116">
        <v>1017</v>
      </c>
      <c r="J116">
        <v>68</v>
      </c>
      <c r="K116">
        <v>69156</v>
      </c>
      <c r="L116" t="s">
        <v>35</v>
      </c>
      <c r="M116" t="s">
        <v>51</v>
      </c>
      <c r="N116">
        <v>54</v>
      </c>
      <c r="O116" t="s">
        <v>37</v>
      </c>
      <c r="P116" t="s">
        <v>29</v>
      </c>
      <c r="Q116" t="s">
        <v>68</v>
      </c>
      <c r="R116" t="s">
        <v>132</v>
      </c>
      <c r="S116">
        <v>13.082700000000001</v>
      </c>
      <c r="T116">
        <v>80.270700000000005</v>
      </c>
    </row>
    <row r="117" spans="1:20" x14ac:dyDescent="0.25">
      <c r="A117" t="s">
        <v>209</v>
      </c>
      <c r="B117" s="1">
        <v>45407</v>
      </c>
      <c r="C117" s="1">
        <v>45412</v>
      </c>
      <c r="D117" t="s">
        <v>82</v>
      </c>
      <c r="E117" t="s">
        <v>50</v>
      </c>
      <c r="F117" t="s">
        <v>23</v>
      </c>
      <c r="G117" t="s">
        <v>24</v>
      </c>
      <c r="H117" t="s">
        <v>25</v>
      </c>
      <c r="I117">
        <v>509</v>
      </c>
      <c r="J117">
        <v>16</v>
      </c>
      <c r="K117">
        <v>8144</v>
      </c>
      <c r="L117" t="s">
        <v>65</v>
      </c>
      <c r="M117" t="s">
        <v>36</v>
      </c>
      <c r="N117">
        <v>38</v>
      </c>
      <c r="O117" t="s">
        <v>28</v>
      </c>
      <c r="P117" t="s">
        <v>29</v>
      </c>
      <c r="Q117" t="s">
        <v>46</v>
      </c>
      <c r="R117" t="s">
        <v>118</v>
      </c>
      <c r="S117">
        <v>24.8949</v>
      </c>
      <c r="T117">
        <v>91.868700000000004</v>
      </c>
    </row>
    <row r="118" spans="1:20" x14ac:dyDescent="0.25">
      <c r="A118" t="s">
        <v>210</v>
      </c>
      <c r="B118" s="1">
        <v>45408</v>
      </c>
      <c r="C118" s="1">
        <v>45412</v>
      </c>
      <c r="D118" t="s">
        <v>49</v>
      </c>
      <c r="E118" t="s">
        <v>50</v>
      </c>
      <c r="F118" t="s">
        <v>23</v>
      </c>
      <c r="G118" t="s">
        <v>58</v>
      </c>
      <c r="H118" t="s">
        <v>25</v>
      </c>
      <c r="I118">
        <v>335</v>
      </c>
      <c r="J118">
        <v>58</v>
      </c>
      <c r="K118">
        <v>19430</v>
      </c>
      <c r="L118" t="s">
        <v>65</v>
      </c>
      <c r="M118" t="s">
        <v>27</v>
      </c>
      <c r="N118">
        <v>39</v>
      </c>
      <c r="O118" t="s">
        <v>28</v>
      </c>
      <c r="P118" t="s">
        <v>45</v>
      </c>
      <c r="Q118" t="s">
        <v>68</v>
      </c>
      <c r="R118" t="s">
        <v>195</v>
      </c>
      <c r="S118">
        <v>19.076000000000001</v>
      </c>
      <c r="T118">
        <v>72.877700000000004</v>
      </c>
    </row>
    <row r="119" spans="1:20" x14ac:dyDescent="0.25">
      <c r="A119" t="s">
        <v>211</v>
      </c>
      <c r="B119" s="1">
        <v>45409</v>
      </c>
      <c r="C119" s="1">
        <v>45412</v>
      </c>
      <c r="D119" t="s">
        <v>21</v>
      </c>
      <c r="E119" t="s">
        <v>22</v>
      </c>
      <c r="F119" t="s">
        <v>23</v>
      </c>
      <c r="G119" t="s">
        <v>72</v>
      </c>
      <c r="H119" t="s">
        <v>25</v>
      </c>
      <c r="I119">
        <v>521</v>
      </c>
      <c r="J119">
        <v>14</v>
      </c>
      <c r="K119">
        <v>7294</v>
      </c>
      <c r="L119" t="s">
        <v>26</v>
      </c>
      <c r="M119" t="s">
        <v>51</v>
      </c>
      <c r="N119">
        <v>34</v>
      </c>
      <c r="O119" t="s">
        <v>28</v>
      </c>
      <c r="P119" t="s">
        <v>45</v>
      </c>
      <c r="Q119" t="s">
        <v>68</v>
      </c>
      <c r="R119" t="s">
        <v>132</v>
      </c>
      <c r="S119">
        <v>13.082700000000001</v>
      </c>
      <c r="T119">
        <v>80.270700000000005</v>
      </c>
    </row>
    <row r="120" spans="1:20" x14ac:dyDescent="0.25">
      <c r="A120" t="s">
        <v>212</v>
      </c>
      <c r="B120" s="1">
        <v>45410</v>
      </c>
      <c r="C120" s="1">
        <v>45412</v>
      </c>
      <c r="D120" t="s">
        <v>159</v>
      </c>
      <c r="E120" t="s">
        <v>103</v>
      </c>
      <c r="F120" t="s">
        <v>33</v>
      </c>
      <c r="G120" t="s">
        <v>72</v>
      </c>
      <c r="H120" t="s">
        <v>104</v>
      </c>
      <c r="I120">
        <v>450</v>
      </c>
      <c r="J120">
        <v>43</v>
      </c>
      <c r="K120">
        <v>19350</v>
      </c>
      <c r="L120" t="s">
        <v>26</v>
      </c>
      <c r="M120" t="s">
        <v>27</v>
      </c>
      <c r="N120">
        <v>36</v>
      </c>
      <c r="O120" t="s">
        <v>28</v>
      </c>
      <c r="P120" t="s">
        <v>45</v>
      </c>
      <c r="Q120" t="s">
        <v>68</v>
      </c>
      <c r="R120" t="s">
        <v>121</v>
      </c>
      <c r="S120">
        <v>12.9716</v>
      </c>
      <c r="T120">
        <v>77.5946</v>
      </c>
    </row>
    <row r="121" spans="1:20" x14ac:dyDescent="0.25">
      <c r="A121" t="s">
        <v>213</v>
      </c>
      <c r="B121" s="1">
        <v>45411</v>
      </c>
      <c r="C121" s="1">
        <v>45412</v>
      </c>
      <c r="D121" t="s">
        <v>131</v>
      </c>
      <c r="E121" t="s">
        <v>103</v>
      </c>
      <c r="F121" t="s">
        <v>23</v>
      </c>
      <c r="G121" t="s">
        <v>34</v>
      </c>
      <c r="H121" t="s">
        <v>104</v>
      </c>
      <c r="I121">
        <v>803</v>
      </c>
      <c r="J121">
        <v>49</v>
      </c>
      <c r="K121">
        <v>39347</v>
      </c>
      <c r="L121" t="s">
        <v>35</v>
      </c>
      <c r="M121" t="s">
        <v>51</v>
      </c>
      <c r="N121">
        <v>46</v>
      </c>
      <c r="O121" t="s">
        <v>59</v>
      </c>
      <c r="P121" t="s">
        <v>45</v>
      </c>
      <c r="Q121" t="s">
        <v>53</v>
      </c>
      <c r="R121" t="s">
        <v>54</v>
      </c>
      <c r="S121">
        <v>40.1828</v>
      </c>
      <c r="T121">
        <v>29.066500000000001</v>
      </c>
    </row>
    <row r="122" spans="1:20" x14ac:dyDescent="0.25">
      <c r="A122" t="s">
        <v>214</v>
      </c>
      <c r="B122" s="1">
        <v>45412</v>
      </c>
      <c r="C122" s="1">
        <v>45412</v>
      </c>
      <c r="D122" t="s">
        <v>126</v>
      </c>
      <c r="E122" t="s">
        <v>103</v>
      </c>
      <c r="F122" t="s">
        <v>23</v>
      </c>
      <c r="G122" t="s">
        <v>24</v>
      </c>
      <c r="H122" t="s">
        <v>104</v>
      </c>
      <c r="I122">
        <v>828</v>
      </c>
      <c r="J122">
        <v>68</v>
      </c>
      <c r="K122">
        <v>56304</v>
      </c>
      <c r="L122" t="s">
        <v>26</v>
      </c>
      <c r="M122" t="s">
        <v>51</v>
      </c>
      <c r="N122">
        <v>64</v>
      </c>
      <c r="O122" t="s">
        <v>66</v>
      </c>
      <c r="P122" t="s">
        <v>29</v>
      </c>
      <c r="Q122" t="s">
        <v>46</v>
      </c>
      <c r="R122" t="s">
        <v>47</v>
      </c>
      <c r="S122">
        <v>22.3569</v>
      </c>
      <c r="T122">
        <v>91.783199999999994</v>
      </c>
    </row>
    <row r="123" spans="1:20" x14ac:dyDescent="0.25">
      <c r="A123" t="s">
        <v>215</v>
      </c>
      <c r="B123" s="1">
        <v>45413</v>
      </c>
      <c r="C123" s="1">
        <v>45443</v>
      </c>
      <c r="D123" t="s">
        <v>129</v>
      </c>
      <c r="E123" t="s">
        <v>103</v>
      </c>
      <c r="F123" t="s">
        <v>71</v>
      </c>
      <c r="G123" t="s">
        <v>34</v>
      </c>
      <c r="H123" t="s">
        <v>104</v>
      </c>
      <c r="I123">
        <v>1127</v>
      </c>
      <c r="J123">
        <v>85</v>
      </c>
      <c r="K123">
        <v>95795</v>
      </c>
      <c r="L123" t="s">
        <v>65</v>
      </c>
      <c r="M123" t="s">
        <v>44</v>
      </c>
      <c r="N123">
        <v>19</v>
      </c>
      <c r="O123" t="s">
        <v>87</v>
      </c>
      <c r="P123" t="s">
        <v>29</v>
      </c>
      <c r="Q123" t="s">
        <v>46</v>
      </c>
      <c r="R123" t="s">
        <v>111</v>
      </c>
      <c r="S123">
        <v>22.845600000000001</v>
      </c>
      <c r="T123">
        <v>89.540300000000002</v>
      </c>
    </row>
    <row r="124" spans="1:20" x14ac:dyDescent="0.25">
      <c r="A124" t="s">
        <v>216</v>
      </c>
      <c r="B124" s="1">
        <v>45414</v>
      </c>
      <c r="C124" s="1">
        <v>45443</v>
      </c>
      <c r="D124" t="s">
        <v>96</v>
      </c>
      <c r="E124" t="s">
        <v>42</v>
      </c>
      <c r="F124" t="s">
        <v>33</v>
      </c>
      <c r="G124" t="s">
        <v>72</v>
      </c>
      <c r="H124" t="s">
        <v>25</v>
      </c>
      <c r="I124">
        <v>873</v>
      </c>
      <c r="J124">
        <v>8</v>
      </c>
      <c r="K124">
        <v>6984</v>
      </c>
      <c r="L124" t="s">
        <v>26</v>
      </c>
      <c r="M124" t="s">
        <v>51</v>
      </c>
      <c r="N124">
        <v>49</v>
      </c>
      <c r="O124" t="s">
        <v>59</v>
      </c>
      <c r="P124" t="s">
        <v>45</v>
      </c>
      <c r="Q124" t="s">
        <v>53</v>
      </c>
      <c r="R124" t="s">
        <v>54</v>
      </c>
      <c r="S124">
        <v>40.1828</v>
      </c>
      <c r="T124">
        <v>29.066500000000001</v>
      </c>
    </row>
    <row r="125" spans="1:20" x14ac:dyDescent="0.25">
      <c r="A125" t="s">
        <v>217</v>
      </c>
      <c r="B125" s="1">
        <v>45415</v>
      </c>
      <c r="C125" s="1">
        <v>45443</v>
      </c>
      <c r="D125" t="s">
        <v>126</v>
      </c>
      <c r="E125" t="s">
        <v>103</v>
      </c>
      <c r="F125" t="s">
        <v>71</v>
      </c>
      <c r="G125" t="s">
        <v>34</v>
      </c>
      <c r="H125" t="s">
        <v>104</v>
      </c>
      <c r="I125">
        <v>880</v>
      </c>
      <c r="J125">
        <v>84</v>
      </c>
      <c r="K125">
        <v>73920</v>
      </c>
      <c r="L125" t="s">
        <v>26</v>
      </c>
      <c r="M125" t="s">
        <v>27</v>
      </c>
      <c r="N125">
        <v>20</v>
      </c>
      <c r="O125" t="s">
        <v>87</v>
      </c>
      <c r="P125" t="s">
        <v>29</v>
      </c>
      <c r="Q125" t="s">
        <v>68</v>
      </c>
      <c r="R125" t="s">
        <v>132</v>
      </c>
      <c r="S125">
        <v>13.082700000000001</v>
      </c>
      <c r="T125">
        <v>80.270700000000005</v>
      </c>
    </row>
    <row r="126" spans="1:20" x14ac:dyDescent="0.25">
      <c r="A126" t="s">
        <v>218</v>
      </c>
      <c r="B126" s="1">
        <v>45416</v>
      </c>
      <c r="C126" s="1">
        <v>45443</v>
      </c>
      <c r="D126" t="s">
        <v>126</v>
      </c>
      <c r="E126" t="s">
        <v>103</v>
      </c>
      <c r="F126" t="s">
        <v>71</v>
      </c>
      <c r="G126" t="s">
        <v>58</v>
      </c>
      <c r="H126" t="s">
        <v>104</v>
      </c>
      <c r="I126">
        <v>821</v>
      </c>
      <c r="J126">
        <v>93</v>
      </c>
      <c r="K126">
        <v>76353</v>
      </c>
      <c r="L126" t="s">
        <v>65</v>
      </c>
      <c r="M126" t="s">
        <v>27</v>
      </c>
      <c r="N126">
        <v>25</v>
      </c>
      <c r="O126" t="s">
        <v>87</v>
      </c>
      <c r="P126" t="s">
        <v>29</v>
      </c>
      <c r="Q126" t="s">
        <v>53</v>
      </c>
      <c r="R126" t="s">
        <v>62</v>
      </c>
      <c r="S126">
        <v>36.896900000000002</v>
      </c>
      <c r="T126">
        <v>30.7133</v>
      </c>
    </row>
    <row r="127" spans="1:20" x14ac:dyDescent="0.25">
      <c r="A127" t="s">
        <v>219</v>
      </c>
      <c r="B127" s="1">
        <v>45417</v>
      </c>
      <c r="C127" s="1">
        <v>45443</v>
      </c>
      <c r="D127" t="s">
        <v>96</v>
      </c>
      <c r="E127" t="s">
        <v>42</v>
      </c>
      <c r="F127" t="s">
        <v>33</v>
      </c>
      <c r="G127" t="s">
        <v>43</v>
      </c>
      <c r="H127" t="s">
        <v>25</v>
      </c>
      <c r="I127">
        <v>838</v>
      </c>
      <c r="J127">
        <v>51</v>
      </c>
      <c r="K127">
        <v>42738</v>
      </c>
      <c r="L127" t="s">
        <v>26</v>
      </c>
      <c r="M127" t="s">
        <v>27</v>
      </c>
      <c r="N127">
        <v>19</v>
      </c>
      <c r="O127" t="s">
        <v>87</v>
      </c>
      <c r="P127" t="s">
        <v>29</v>
      </c>
      <c r="Q127" t="s">
        <v>68</v>
      </c>
      <c r="R127" t="s">
        <v>69</v>
      </c>
      <c r="S127">
        <v>18.520399999999999</v>
      </c>
      <c r="T127">
        <v>73.856700000000004</v>
      </c>
    </row>
    <row r="128" spans="1:20" x14ac:dyDescent="0.25">
      <c r="A128" t="s">
        <v>220</v>
      </c>
      <c r="B128" s="1">
        <v>45418</v>
      </c>
      <c r="C128" s="1">
        <v>45443</v>
      </c>
      <c r="D128" t="s">
        <v>21</v>
      </c>
      <c r="E128" t="s">
        <v>22</v>
      </c>
      <c r="F128" t="s">
        <v>71</v>
      </c>
      <c r="G128" t="s">
        <v>43</v>
      </c>
      <c r="H128" t="s">
        <v>25</v>
      </c>
      <c r="I128">
        <v>540</v>
      </c>
      <c r="J128">
        <v>25</v>
      </c>
      <c r="K128">
        <v>13500</v>
      </c>
      <c r="L128" t="s">
        <v>26</v>
      </c>
      <c r="M128" t="s">
        <v>51</v>
      </c>
      <c r="N128">
        <v>64</v>
      </c>
      <c r="O128" t="s">
        <v>66</v>
      </c>
      <c r="P128" t="s">
        <v>29</v>
      </c>
      <c r="Q128" t="s">
        <v>46</v>
      </c>
      <c r="R128" t="s">
        <v>60</v>
      </c>
      <c r="S128">
        <v>24.374500000000001</v>
      </c>
      <c r="T128">
        <v>88.604200000000006</v>
      </c>
    </row>
    <row r="129" spans="1:20" x14ac:dyDescent="0.25">
      <c r="A129" t="s">
        <v>164</v>
      </c>
      <c r="B129" s="1">
        <v>45419</v>
      </c>
      <c r="C129" s="1">
        <v>45443</v>
      </c>
      <c r="D129" t="s">
        <v>159</v>
      </c>
      <c r="E129" t="s">
        <v>103</v>
      </c>
      <c r="F129" t="s">
        <v>33</v>
      </c>
      <c r="G129" t="s">
        <v>72</v>
      </c>
      <c r="H129" t="s">
        <v>104</v>
      </c>
      <c r="I129">
        <v>438</v>
      </c>
      <c r="J129">
        <v>85</v>
      </c>
      <c r="K129">
        <v>37230</v>
      </c>
      <c r="L129" t="s">
        <v>26</v>
      </c>
      <c r="M129" t="s">
        <v>44</v>
      </c>
      <c r="N129">
        <v>44</v>
      </c>
      <c r="O129" t="s">
        <v>59</v>
      </c>
      <c r="P129" t="s">
        <v>45</v>
      </c>
      <c r="Q129" t="s">
        <v>53</v>
      </c>
      <c r="R129" t="s">
        <v>73</v>
      </c>
      <c r="S129">
        <v>41.008200000000002</v>
      </c>
      <c r="T129">
        <v>28.978400000000001</v>
      </c>
    </row>
    <row r="130" spans="1:20" x14ac:dyDescent="0.25">
      <c r="A130" t="s">
        <v>221</v>
      </c>
      <c r="B130" s="1">
        <v>45420</v>
      </c>
      <c r="C130" s="1">
        <v>45443</v>
      </c>
      <c r="D130" t="s">
        <v>21</v>
      </c>
      <c r="E130" t="s">
        <v>22</v>
      </c>
      <c r="F130" t="s">
        <v>33</v>
      </c>
      <c r="G130" t="s">
        <v>43</v>
      </c>
      <c r="H130" t="s">
        <v>25</v>
      </c>
      <c r="I130">
        <v>520</v>
      </c>
      <c r="J130">
        <v>62</v>
      </c>
      <c r="K130">
        <v>32240</v>
      </c>
      <c r="L130" t="s">
        <v>65</v>
      </c>
      <c r="M130" t="s">
        <v>51</v>
      </c>
      <c r="N130">
        <v>21</v>
      </c>
      <c r="O130" t="s">
        <v>87</v>
      </c>
      <c r="P130" t="s">
        <v>45</v>
      </c>
      <c r="Q130" t="s">
        <v>46</v>
      </c>
      <c r="R130" t="s">
        <v>111</v>
      </c>
      <c r="S130">
        <v>22.845600000000001</v>
      </c>
      <c r="T130">
        <v>89.540300000000002</v>
      </c>
    </row>
    <row r="131" spans="1:20" x14ac:dyDescent="0.25">
      <c r="A131" t="s">
        <v>222</v>
      </c>
      <c r="B131" s="1">
        <v>45421</v>
      </c>
      <c r="C131" s="1">
        <v>45443</v>
      </c>
      <c r="D131" t="s">
        <v>41</v>
      </c>
      <c r="E131" t="s">
        <v>42</v>
      </c>
      <c r="F131" t="s">
        <v>23</v>
      </c>
      <c r="G131" t="s">
        <v>72</v>
      </c>
      <c r="H131" t="s">
        <v>25</v>
      </c>
      <c r="I131">
        <v>669</v>
      </c>
      <c r="J131">
        <v>54</v>
      </c>
      <c r="K131">
        <v>36126</v>
      </c>
      <c r="L131" t="s">
        <v>35</v>
      </c>
      <c r="M131" t="s">
        <v>36</v>
      </c>
      <c r="N131">
        <v>43</v>
      </c>
      <c r="O131" t="s">
        <v>59</v>
      </c>
      <c r="P131" t="s">
        <v>45</v>
      </c>
      <c r="Q131" t="s">
        <v>68</v>
      </c>
      <c r="R131" t="s">
        <v>170</v>
      </c>
      <c r="S131">
        <v>23.022500000000001</v>
      </c>
      <c r="T131">
        <v>72.571399999999997</v>
      </c>
    </row>
    <row r="132" spans="1:20" x14ac:dyDescent="0.25">
      <c r="A132" t="s">
        <v>221</v>
      </c>
      <c r="B132" s="1">
        <v>45422</v>
      </c>
      <c r="C132" s="1">
        <v>45443</v>
      </c>
      <c r="D132" t="s">
        <v>21</v>
      </c>
      <c r="E132" t="s">
        <v>22</v>
      </c>
      <c r="F132" t="s">
        <v>33</v>
      </c>
      <c r="G132" t="s">
        <v>43</v>
      </c>
      <c r="H132" t="s">
        <v>25</v>
      </c>
      <c r="I132">
        <v>520</v>
      </c>
      <c r="J132">
        <v>62</v>
      </c>
      <c r="K132">
        <v>32240</v>
      </c>
      <c r="L132" t="s">
        <v>65</v>
      </c>
      <c r="M132" t="s">
        <v>51</v>
      </c>
      <c r="N132">
        <v>21</v>
      </c>
      <c r="O132" t="s">
        <v>87</v>
      </c>
      <c r="P132" t="s">
        <v>45</v>
      </c>
      <c r="Q132" t="s">
        <v>46</v>
      </c>
      <c r="R132" t="s">
        <v>111</v>
      </c>
      <c r="S132">
        <v>22.845600000000001</v>
      </c>
      <c r="T132">
        <v>89.540300000000002</v>
      </c>
    </row>
    <row r="133" spans="1:20" x14ac:dyDescent="0.25">
      <c r="A133" t="s">
        <v>223</v>
      </c>
      <c r="B133" s="1">
        <v>45423</v>
      </c>
      <c r="C133" s="1">
        <v>45443</v>
      </c>
      <c r="D133" t="s">
        <v>75</v>
      </c>
      <c r="E133" t="s">
        <v>50</v>
      </c>
      <c r="F133" t="s">
        <v>23</v>
      </c>
      <c r="G133" t="s">
        <v>72</v>
      </c>
      <c r="H133" t="s">
        <v>25</v>
      </c>
      <c r="I133">
        <v>395</v>
      </c>
      <c r="J133">
        <v>47</v>
      </c>
      <c r="K133">
        <v>18565</v>
      </c>
      <c r="L133" t="s">
        <v>35</v>
      </c>
      <c r="M133" t="s">
        <v>36</v>
      </c>
      <c r="N133">
        <v>34</v>
      </c>
      <c r="O133" t="s">
        <v>28</v>
      </c>
      <c r="P133" t="s">
        <v>29</v>
      </c>
      <c r="Q133" t="s">
        <v>53</v>
      </c>
      <c r="R133" t="s">
        <v>62</v>
      </c>
      <c r="S133">
        <v>36.896900000000002</v>
      </c>
      <c r="T133">
        <v>30.7133</v>
      </c>
    </row>
    <row r="134" spans="1:20" x14ac:dyDescent="0.25">
      <c r="A134" t="s">
        <v>224</v>
      </c>
      <c r="B134" s="1">
        <v>45424</v>
      </c>
      <c r="C134" s="1">
        <v>45443</v>
      </c>
      <c r="D134" t="s">
        <v>80</v>
      </c>
      <c r="E134" t="s">
        <v>42</v>
      </c>
      <c r="F134" t="s">
        <v>33</v>
      </c>
      <c r="G134" t="s">
        <v>58</v>
      </c>
      <c r="H134" t="s">
        <v>25</v>
      </c>
      <c r="I134">
        <v>569</v>
      </c>
      <c r="J134">
        <v>64</v>
      </c>
      <c r="K134">
        <v>36416</v>
      </c>
      <c r="L134" t="s">
        <v>26</v>
      </c>
      <c r="M134" t="s">
        <v>51</v>
      </c>
      <c r="N134">
        <v>27</v>
      </c>
      <c r="O134" t="s">
        <v>52</v>
      </c>
      <c r="P134" t="s">
        <v>29</v>
      </c>
      <c r="Q134" t="s">
        <v>53</v>
      </c>
      <c r="R134" t="s">
        <v>94</v>
      </c>
      <c r="S134">
        <v>38.419199999999996</v>
      </c>
      <c r="T134">
        <v>27.128699999999998</v>
      </c>
    </row>
    <row r="135" spans="1:20" x14ac:dyDescent="0.25">
      <c r="A135" t="s">
        <v>225</v>
      </c>
      <c r="B135" s="1">
        <v>45425</v>
      </c>
      <c r="C135" s="1">
        <v>45443</v>
      </c>
      <c r="D135" t="s">
        <v>49</v>
      </c>
      <c r="E135" t="s">
        <v>50</v>
      </c>
      <c r="F135" t="s">
        <v>71</v>
      </c>
      <c r="G135" t="s">
        <v>58</v>
      </c>
      <c r="H135" t="s">
        <v>25</v>
      </c>
      <c r="I135">
        <v>340</v>
      </c>
      <c r="J135">
        <v>6</v>
      </c>
      <c r="K135">
        <v>2040</v>
      </c>
      <c r="L135" t="s">
        <v>26</v>
      </c>
      <c r="M135" t="s">
        <v>44</v>
      </c>
      <c r="N135">
        <v>26</v>
      </c>
      <c r="O135" t="s">
        <v>52</v>
      </c>
      <c r="P135" t="s">
        <v>38</v>
      </c>
      <c r="Q135" t="s">
        <v>53</v>
      </c>
      <c r="R135" t="s">
        <v>62</v>
      </c>
      <c r="S135">
        <v>36.896900000000002</v>
      </c>
      <c r="T135">
        <v>30.7133</v>
      </c>
    </row>
    <row r="136" spans="1:20" x14ac:dyDescent="0.25">
      <c r="A136" t="s">
        <v>226</v>
      </c>
      <c r="B136" s="1">
        <v>45426</v>
      </c>
      <c r="C136" s="1">
        <v>45443</v>
      </c>
      <c r="D136" t="s">
        <v>82</v>
      </c>
      <c r="E136" t="s">
        <v>50</v>
      </c>
      <c r="F136" t="s">
        <v>71</v>
      </c>
      <c r="G136" t="s">
        <v>72</v>
      </c>
      <c r="H136" t="s">
        <v>25</v>
      </c>
      <c r="I136">
        <v>528</v>
      </c>
      <c r="J136">
        <v>16</v>
      </c>
      <c r="K136">
        <v>8448</v>
      </c>
      <c r="L136" t="s">
        <v>26</v>
      </c>
      <c r="M136" t="s">
        <v>44</v>
      </c>
      <c r="N136">
        <v>29</v>
      </c>
      <c r="O136" t="s">
        <v>52</v>
      </c>
      <c r="P136" t="s">
        <v>45</v>
      </c>
      <c r="Q136" t="s">
        <v>53</v>
      </c>
      <c r="R136" t="s">
        <v>94</v>
      </c>
      <c r="S136">
        <v>38.419199999999996</v>
      </c>
      <c r="T136">
        <v>27.128699999999998</v>
      </c>
    </row>
    <row r="137" spans="1:20" x14ac:dyDescent="0.25">
      <c r="A137" t="s">
        <v>227</v>
      </c>
      <c r="B137" s="1">
        <v>45427</v>
      </c>
      <c r="C137" s="1">
        <v>45443</v>
      </c>
      <c r="D137" t="s">
        <v>129</v>
      </c>
      <c r="E137" t="s">
        <v>103</v>
      </c>
      <c r="F137" t="s">
        <v>33</v>
      </c>
      <c r="G137" t="s">
        <v>34</v>
      </c>
      <c r="H137" t="s">
        <v>104</v>
      </c>
      <c r="I137">
        <v>1167</v>
      </c>
      <c r="J137">
        <v>38</v>
      </c>
      <c r="K137">
        <v>44346</v>
      </c>
      <c r="L137" t="s">
        <v>26</v>
      </c>
      <c r="M137" t="s">
        <v>51</v>
      </c>
      <c r="N137">
        <v>36</v>
      </c>
      <c r="O137" t="s">
        <v>28</v>
      </c>
      <c r="P137" t="s">
        <v>38</v>
      </c>
      <c r="Q137" t="s">
        <v>53</v>
      </c>
      <c r="R137" t="s">
        <v>100</v>
      </c>
      <c r="S137">
        <v>39.933399999999999</v>
      </c>
      <c r="T137">
        <v>32.859699999999997</v>
      </c>
    </row>
    <row r="138" spans="1:20" x14ac:dyDescent="0.25">
      <c r="A138" t="s">
        <v>228</v>
      </c>
      <c r="B138" s="1">
        <v>45428</v>
      </c>
      <c r="C138" s="1">
        <v>45443</v>
      </c>
      <c r="D138" t="s">
        <v>75</v>
      </c>
      <c r="E138" t="s">
        <v>50</v>
      </c>
      <c r="F138" t="s">
        <v>23</v>
      </c>
      <c r="G138" t="s">
        <v>24</v>
      </c>
      <c r="H138" t="s">
        <v>25</v>
      </c>
      <c r="I138">
        <v>362</v>
      </c>
      <c r="J138">
        <v>75</v>
      </c>
      <c r="K138">
        <v>27150</v>
      </c>
      <c r="L138" t="s">
        <v>26</v>
      </c>
      <c r="M138" t="s">
        <v>36</v>
      </c>
      <c r="N138">
        <v>32</v>
      </c>
      <c r="O138" t="s">
        <v>52</v>
      </c>
      <c r="P138" t="s">
        <v>45</v>
      </c>
      <c r="Q138" t="s">
        <v>53</v>
      </c>
      <c r="R138" t="s">
        <v>54</v>
      </c>
      <c r="S138">
        <v>40.1828</v>
      </c>
      <c r="T138">
        <v>29.066500000000001</v>
      </c>
    </row>
    <row r="139" spans="1:20" x14ac:dyDescent="0.25">
      <c r="A139" t="s">
        <v>229</v>
      </c>
      <c r="B139" s="1">
        <v>45429</v>
      </c>
      <c r="C139" s="1">
        <v>45443</v>
      </c>
      <c r="D139" t="s">
        <v>129</v>
      </c>
      <c r="E139" t="s">
        <v>103</v>
      </c>
      <c r="F139" t="s">
        <v>23</v>
      </c>
      <c r="G139" t="s">
        <v>43</v>
      </c>
      <c r="H139" t="s">
        <v>104</v>
      </c>
      <c r="I139">
        <v>1186</v>
      </c>
      <c r="J139">
        <v>33</v>
      </c>
      <c r="K139">
        <v>39138</v>
      </c>
      <c r="L139" t="s">
        <v>26</v>
      </c>
      <c r="M139" t="s">
        <v>36</v>
      </c>
      <c r="N139">
        <v>30</v>
      </c>
      <c r="O139" t="s">
        <v>52</v>
      </c>
      <c r="P139" t="s">
        <v>45</v>
      </c>
      <c r="Q139" t="s">
        <v>68</v>
      </c>
      <c r="R139" t="s">
        <v>170</v>
      </c>
      <c r="S139">
        <v>23.022500000000001</v>
      </c>
      <c r="T139">
        <v>72.571399999999997</v>
      </c>
    </row>
    <row r="140" spans="1:20" x14ac:dyDescent="0.25">
      <c r="A140" t="s">
        <v>230</v>
      </c>
      <c r="B140" s="1">
        <v>45430</v>
      </c>
      <c r="C140" s="1">
        <v>45443</v>
      </c>
      <c r="D140" t="s">
        <v>131</v>
      </c>
      <c r="E140" t="s">
        <v>103</v>
      </c>
      <c r="F140" t="s">
        <v>33</v>
      </c>
      <c r="G140" t="s">
        <v>24</v>
      </c>
      <c r="H140" t="s">
        <v>104</v>
      </c>
      <c r="I140">
        <v>800</v>
      </c>
      <c r="J140">
        <v>51</v>
      </c>
      <c r="K140">
        <v>40800</v>
      </c>
      <c r="L140" t="s">
        <v>26</v>
      </c>
      <c r="M140" t="s">
        <v>27</v>
      </c>
      <c r="N140">
        <v>27</v>
      </c>
      <c r="O140" t="s">
        <v>52</v>
      </c>
      <c r="P140" t="s">
        <v>45</v>
      </c>
      <c r="Q140" t="s">
        <v>53</v>
      </c>
      <c r="R140" t="s">
        <v>73</v>
      </c>
      <c r="S140">
        <v>41.008200000000002</v>
      </c>
      <c r="T140">
        <v>28.978400000000001</v>
      </c>
    </row>
    <row r="141" spans="1:20" x14ac:dyDescent="0.25">
      <c r="A141" t="s">
        <v>231</v>
      </c>
      <c r="B141" s="1">
        <v>45431</v>
      </c>
      <c r="C141" s="1">
        <v>45443</v>
      </c>
      <c r="D141" t="s">
        <v>78</v>
      </c>
      <c r="E141" t="s">
        <v>22</v>
      </c>
      <c r="F141" t="s">
        <v>71</v>
      </c>
      <c r="G141" t="s">
        <v>24</v>
      </c>
      <c r="H141" t="s">
        <v>25</v>
      </c>
      <c r="I141">
        <v>722</v>
      </c>
      <c r="J141">
        <v>53</v>
      </c>
      <c r="K141">
        <v>38266</v>
      </c>
      <c r="L141" t="s">
        <v>35</v>
      </c>
      <c r="M141" t="s">
        <v>27</v>
      </c>
      <c r="N141">
        <v>39</v>
      </c>
      <c r="O141" t="s">
        <v>28</v>
      </c>
      <c r="P141" t="s">
        <v>45</v>
      </c>
      <c r="Q141" t="s">
        <v>53</v>
      </c>
      <c r="R141" t="s">
        <v>100</v>
      </c>
      <c r="S141">
        <v>39.933399999999999</v>
      </c>
      <c r="T141">
        <v>32.859699999999997</v>
      </c>
    </row>
    <row r="142" spans="1:20" x14ac:dyDescent="0.25">
      <c r="A142" t="s">
        <v>204</v>
      </c>
      <c r="B142" s="1">
        <v>45432</v>
      </c>
      <c r="C142" s="1">
        <v>45443</v>
      </c>
      <c r="D142" t="s">
        <v>78</v>
      </c>
      <c r="E142" t="s">
        <v>22</v>
      </c>
      <c r="F142" t="s">
        <v>33</v>
      </c>
      <c r="G142" t="s">
        <v>34</v>
      </c>
      <c r="H142" t="s">
        <v>25</v>
      </c>
      <c r="I142">
        <v>741</v>
      </c>
      <c r="J142">
        <v>73</v>
      </c>
      <c r="K142">
        <v>54093</v>
      </c>
      <c r="L142" t="s">
        <v>65</v>
      </c>
      <c r="M142" t="s">
        <v>27</v>
      </c>
      <c r="N142">
        <v>22</v>
      </c>
      <c r="O142" t="s">
        <v>87</v>
      </c>
      <c r="P142" t="s">
        <v>38</v>
      </c>
      <c r="Q142" t="s">
        <v>53</v>
      </c>
      <c r="R142" t="s">
        <v>73</v>
      </c>
      <c r="S142">
        <v>41.008200000000002</v>
      </c>
      <c r="T142">
        <v>28.978400000000001</v>
      </c>
    </row>
    <row r="143" spans="1:20" x14ac:dyDescent="0.25">
      <c r="A143" t="s">
        <v>232</v>
      </c>
      <c r="B143" s="1">
        <v>45433</v>
      </c>
      <c r="C143" s="1">
        <v>45443</v>
      </c>
      <c r="D143" t="s">
        <v>102</v>
      </c>
      <c r="E143" t="s">
        <v>103</v>
      </c>
      <c r="F143" t="s">
        <v>71</v>
      </c>
      <c r="G143" t="s">
        <v>72</v>
      </c>
      <c r="H143" t="s">
        <v>104</v>
      </c>
      <c r="I143">
        <v>1082</v>
      </c>
      <c r="J143">
        <v>54</v>
      </c>
      <c r="K143">
        <v>58428</v>
      </c>
      <c r="L143" t="s">
        <v>26</v>
      </c>
      <c r="M143" t="s">
        <v>51</v>
      </c>
      <c r="N143">
        <v>20</v>
      </c>
      <c r="O143" t="s">
        <v>87</v>
      </c>
      <c r="P143" t="s">
        <v>29</v>
      </c>
      <c r="Q143" t="s">
        <v>68</v>
      </c>
      <c r="R143" t="s">
        <v>195</v>
      </c>
      <c r="S143">
        <v>19.076000000000001</v>
      </c>
      <c r="T143">
        <v>72.877700000000004</v>
      </c>
    </row>
    <row r="144" spans="1:20" x14ac:dyDescent="0.25">
      <c r="A144" t="s">
        <v>233</v>
      </c>
      <c r="B144" s="1">
        <v>45434</v>
      </c>
      <c r="C144" s="1">
        <v>45443</v>
      </c>
      <c r="D144" t="s">
        <v>41</v>
      </c>
      <c r="E144" t="s">
        <v>42</v>
      </c>
      <c r="F144" t="s">
        <v>23</v>
      </c>
      <c r="G144" t="s">
        <v>24</v>
      </c>
      <c r="H144" t="s">
        <v>25</v>
      </c>
      <c r="I144">
        <v>678</v>
      </c>
      <c r="J144">
        <v>33</v>
      </c>
      <c r="K144">
        <v>22374</v>
      </c>
      <c r="L144" t="s">
        <v>26</v>
      </c>
      <c r="M144" t="s">
        <v>51</v>
      </c>
      <c r="N144">
        <v>43</v>
      </c>
      <c r="O144" t="s">
        <v>59</v>
      </c>
      <c r="P144" t="s">
        <v>29</v>
      </c>
      <c r="Q144" t="s">
        <v>68</v>
      </c>
      <c r="R144" t="s">
        <v>91</v>
      </c>
      <c r="S144">
        <v>26.912400000000002</v>
      </c>
      <c r="T144">
        <v>75.787300000000002</v>
      </c>
    </row>
    <row r="145" spans="1:20" x14ac:dyDescent="0.25">
      <c r="A145" t="s">
        <v>232</v>
      </c>
      <c r="B145" s="1">
        <v>45435</v>
      </c>
      <c r="C145" s="1">
        <v>45443</v>
      </c>
      <c r="D145" t="s">
        <v>102</v>
      </c>
      <c r="E145" t="s">
        <v>103</v>
      </c>
      <c r="F145" t="s">
        <v>71</v>
      </c>
      <c r="G145" t="s">
        <v>72</v>
      </c>
      <c r="H145" t="s">
        <v>104</v>
      </c>
      <c r="I145">
        <v>1082</v>
      </c>
      <c r="J145">
        <v>54</v>
      </c>
      <c r="K145">
        <v>58428</v>
      </c>
      <c r="L145" t="s">
        <v>26</v>
      </c>
      <c r="M145" t="s">
        <v>51</v>
      </c>
      <c r="N145">
        <v>20</v>
      </c>
      <c r="O145" t="s">
        <v>87</v>
      </c>
      <c r="P145" t="s">
        <v>29</v>
      </c>
      <c r="Q145" t="s">
        <v>68</v>
      </c>
      <c r="R145" t="s">
        <v>195</v>
      </c>
      <c r="S145">
        <v>19.076000000000001</v>
      </c>
      <c r="T145">
        <v>72.877700000000004</v>
      </c>
    </row>
    <row r="146" spans="1:20" x14ac:dyDescent="0.25">
      <c r="A146" t="s">
        <v>234</v>
      </c>
      <c r="B146" s="1">
        <v>45436</v>
      </c>
      <c r="C146" s="1">
        <v>45443</v>
      </c>
      <c r="D146" t="s">
        <v>131</v>
      </c>
      <c r="E146" t="s">
        <v>103</v>
      </c>
      <c r="F146" t="s">
        <v>23</v>
      </c>
      <c r="G146" t="s">
        <v>24</v>
      </c>
      <c r="H146" t="s">
        <v>104</v>
      </c>
      <c r="I146">
        <v>861</v>
      </c>
      <c r="J146">
        <v>52</v>
      </c>
      <c r="K146">
        <v>44772</v>
      </c>
      <c r="L146" t="s">
        <v>26</v>
      </c>
      <c r="M146" t="s">
        <v>44</v>
      </c>
      <c r="N146">
        <v>24</v>
      </c>
      <c r="O146" t="s">
        <v>87</v>
      </c>
      <c r="P146" t="s">
        <v>45</v>
      </c>
      <c r="Q146" t="s">
        <v>68</v>
      </c>
      <c r="R146" t="s">
        <v>170</v>
      </c>
      <c r="S146">
        <v>23.022500000000001</v>
      </c>
      <c r="T146">
        <v>72.571399999999997</v>
      </c>
    </row>
    <row r="147" spans="1:20" x14ac:dyDescent="0.25">
      <c r="A147" t="s">
        <v>235</v>
      </c>
      <c r="B147" s="1">
        <v>45437</v>
      </c>
      <c r="C147" s="1">
        <v>45443</v>
      </c>
      <c r="D147" t="s">
        <v>49</v>
      </c>
      <c r="E147" t="s">
        <v>50</v>
      </c>
      <c r="F147" t="s">
        <v>71</v>
      </c>
      <c r="G147" t="s">
        <v>58</v>
      </c>
      <c r="H147" t="s">
        <v>25</v>
      </c>
      <c r="I147">
        <v>312</v>
      </c>
      <c r="J147">
        <v>64</v>
      </c>
      <c r="K147">
        <v>19968</v>
      </c>
      <c r="L147" t="s">
        <v>26</v>
      </c>
      <c r="M147" t="s">
        <v>36</v>
      </c>
      <c r="N147">
        <v>18</v>
      </c>
      <c r="O147" t="s">
        <v>87</v>
      </c>
      <c r="P147" t="s">
        <v>45</v>
      </c>
      <c r="Q147" t="s">
        <v>68</v>
      </c>
      <c r="R147" t="s">
        <v>170</v>
      </c>
      <c r="S147">
        <v>23.022500000000001</v>
      </c>
      <c r="T147">
        <v>72.571399999999997</v>
      </c>
    </row>
    <row r="148" spans="1:20" x14ac:dyDescent="0.25">
      <c r="A148" t="s">
        <v>236</v>
      </c>
      <c r="B148" s="1">
        <v>45438</v>
      </c>
      <c r="C148" s="1">
        <v>45443</v>
      </c>
      <c r="D148" t="s">
        <v>82</v>
      </c>
      <c r="E148" t="s">
        <v>50</v>
      </c>
      <c r="F148" t="s">
        <v>71</v>
      </c>
      <c r="G148" t="s">
        <v>34</v>
      </c>
      <c r="H148" t="s">
        <v>25</v>
      </c>
      <c r="I148">
        <v>529</v>
      </c>
      <c r="J148">
        <v>44</v>
      </c>
      <c r="K148">
        <v>23276</v>
      </c>
      <c r="L148" t="s">
        <v>35</v>
      </c>
      <c r="M148" t="s">
        <v>44</v>
      </c>
      <c r="N148">
        <v>45</v>
      </c>
      <c r="O148" t="s">
        <v>59</v>
      </c>
      <c r="P148" t="s">
        <v>29</v>
      </c>
      <c r="Q148" t="s">
        <v>53</v>
      </c>
      <c r="R148" t="s">
        <v>54</v>
      </c>
      <c r="S148">
        <v>40.1828</v>
      </c>
      <c r="T148">
        <v>29.066500000000001</v>
      </c>
    </row>
    <row r="149" spans="1:20" x14ac:dyDescent="0.25">
      <c r="A149" t="s">
        <v>237</v>
      </c>
      <c r="B149" s="1">
        <v>45439</v>
      </c>
      <c r="C149" s="1">
        <v>45443</v>
      </c>
      <c r="D149" t="s">
        <v>64</v>
      </c>
      <c r="E149" t="s">
        <v>50</v>
      </c>
      <c r="F149" t="s">
        <v>33</v>
      </c>
      <c r="G149" t="s">
        <v>43</v>
      </c>
      <c r="H149" t="s">
        <v>25</v>
      </c>
      <c r="I149">
        <v>855</v>
      </c>
      <c r="J149">
        <v>62</v>
      </c>
      <c r="K149">
        <v>53010</v>
      </c>
      <c r="L149" t="s">
        <v>26</v>
      </c>
      <c r="M149" t="s">
        <v>36</v>
      </c>
      <c r="N149">
        <v>51</v>
      </c>
      <c r="O149" t="s">
        <v>37</v>
      </c>
      <c r="P149" t="s">
        <v>29</v>
      </c>
      <c r="Q149" t="s">
        <v>46</v>
      </c>
      <c r="R149" t="s">
        <v>60</v>
      </c>
      <c r="S149">
        <v>24.374500000000001</v>
      </c>
      <c r="T149">
        <v>88.604200000000006</v>
      </c>
    </row>
    <row r="150" spans="1:20" x14ac:dyDescent="0.25">
      <c r="A150" t="s">
        <v>238</v>
      </c>
      <c r="B150" s="1">
        <v>45440</v>
      </c>
      <c r="C150" s="1">
        <v>45443</v>
      </c>
      <c r="D150" t="s">
        <v>80</v>
      </c>
      <c r="E150" t="s">
        <v>42</v>
      </c>
      <c r="F150" t="s">
        <v>23</v>
      </c>
      <c r="G150" t="s">
        <v>58</v>
      </c>
      <c r="H150" t="s">
        <v>25</v>
      </c>
      <c r="I150">
        <v>534</v>
      </c>
      <c r="J150">
        <v>91</v>
      </c>
      <c r="K150">
        <v>48594</v>
      </c>
      <c r="L150" t="s">
        <v>26</v>
      </c>
      <c r="M150" t="s">
        <v>51</v>
      </c>
      <c r="N150">
        <v>20</v>
      </c>
      <c r="O150" t="s">
        <v>87</v>
      </c>
      <c r="P150" t="s">
        <v>29</v>
      </c>
      <c r="Q150" t="s">
        <v>68</v>
      </c>
      <c r="R150" t="s">
        <v>98</v>
      </c>
      <c r="S150">
        <v>22.572600000000001</v>
      </c>
      <c r="T150">
        <v>88.363900000000001</v>
      </c>
    </row>
    <row r="151" spans="1:20" x14ac:dyDescent="0.25">
      <c r="A151" t="s">
        <v>239</v>
      </c>
      <c r="B151" s="1">
        <v>45441</v>
      </c>
      <c r="C151" s="1">
        <v>45443</v>
      </c>
      <c r="D151" t="s">
        <v>120</v>
      </c>
      <c r="E151" t="s">
        <v>57</v>
      </c>
      <c r="F151" t="s">
        <v>33</v>
      </c>
      <c r="G151" t="s">
        <v>43</v>
      </c>
      <c r="H151" t="s">
        <v>25</v>
      </c>
      <c r="I151">
        <v>325</v>
      </c>
      <c r="J151">
        <v>78</v>
      </c>
      <c r="K151">
        <v>25350</v>
      </c>
      <c r="L151" t="s">
        <v>65</v>
      </c>
      <c r="M151" t="s">
        <v>51</v>
      </c>
      <c r="N151">
        <v>61</v>
      </c>
      <c r="O151" t="s">
        <v>66</v>
      </c>
      <c r="P151" t="s">
        <v>29</v>
      </c>
      <c r="Q151" t="s">
        <v>53</v>
      </c>
      <c r="R151" t="s">
        <v>54</v>
      </c>
      <c r="S151">
        <v>40.1828</v>
      </c>
      <c r="T151">
        <v>29.066500000000001</v>
      </c>
    </row>
    <row r="152" spans="1:20" x14ac:dyDescent="0.25">
      <c r="A152" t="s">
        <v>240</v>
      </c>
      <c r="B152" s="1">
        <v>45442</v>
      </c>
      <c r="C152" s="1">
        <v>45443</v>
      </c>
      <c r="D152" t="s">
        <v>21</v>
      </c>
      <c r="E152" t="s">
        <v>22</v>
      </c>
      <c r="F152" t="s">
        <v>23</v>
      </c>
      <c r="G152" t="s">
        <v>34</v>
      </c>
      <c r="H152" t="s">
        <v>25</v>
      </c>
      <c r="I152">
        <v>545</v>
      </c>
      <c r="J152">
        <v>21</v>
      </c>
      <c r="K152">
        <v>11445</v>
      </c>
      <c r="L152" t="s">
        <v>26</v>
      </c>
      <c r="M152" t="s">
        <v>51</v>
      </c>
      <c r="N152">
        <v>57</v>
      </c>
      <c r="O152" t="s">
        <v>37</v>
      </c>
      <c r="P152" t="s">
        <v>45</v>
      </c>
      <c r="Q152" t="s">
        <v>68</v>
      </c>
      <c r="R152" t="s">
        <v>127</v>
      </c>
      <c r="S152">
        <v>26.846699999999998</v>
      </c>
      <c r="T152">
        <v>80.946200000000005</v>
      </c>
    </row>
    <row r="153" spans="1:20" x14ac:dyDescent="0.25">
      <c r="A153" t="s">
        <v>241</v>
      </c>
      <c r="B153" s="1">
        <v>45443</v>
      </c>
      <c r="C153" s="1">
        <v>45443</v>
      </c>
      <c r="D153" t="s">
        <v>82</v>
      </c>
      <c r="E153" t="s">
        <v>50</v>
      </c>
      <c r="F153" t="s">
        <v>71</v>
      </c>
      <c r="G153" t="s">
        <v>34</v>
      </c>
      <c r="H153" t="s">
        <v>25</v>
      </c>
      <c r="I153">
        <v>542</v>
      </c>
      <c r="J153">
        <v>32</v>
      </c>
      <c r="K153">
        <v>17344</v>
      </c>
      <c r="L153" t="s">
        <v>65</v>
      </c>
      <c r="M153" t="s">
        <v>27</v>
      </c>
      <c r="N153">
        <v>24</v>
      </c>
      <c r="O153" t="s">
        <v>87</v>
      </c>
      <c r="P153" t="s">
        <v>45</v>
      </c>
      <c r="Q153" t="s">
        <v>68</v>
      </c>
      <c r="R153" t="s">
        <v>132</v>
      </c>
      <c r="S153">
        <v>13.082700000000001</v>
      </c>
      <c r="T153">
        <v>80.270700000000005</v>
      </c>
    </row>
    <row r="154" spans="1:20" x14ac:dyDescent="0.25">
      <c r="A154" t="s">
        <v>242</v>
      </c>
      <c r="B154" s="1">
        <v>45444</v>
      </c>
      <c r="C154" s="1">
        <v>45473</v>
      </c>
      <c r="D154" t="s">
        <v>85</v>
      </c>
      <c r="E154" t="s">
        <v>22</v>
      </c>
      <c r="F154" t="s">
        <v>71</v>
      </c>
      <c r="G154" t="s">
        <v>34</v>
      </c>
      <c r="H154" t="s">
        <v>25</v>
      </c>
      <c r="I154">
        <v>1080</v>
      </c>
      <c r="J154">
        <v>31</v>
      </c>
      <c r="K154">
        <v>33480</v>
      </c>
      <c r="L154" t="s">
        <v>26</v>
      </c>
      <c r="M154" t="s">
        <v>51</v>
      </c>
      <c r="N154">
        <v>25</v>
      </c>
      <c r="O154" t="s">
        <v>87</v>
      </c>
      <c r="P154" t="s">
        <v>45</v>
      </c>
      <c r="Q154" t="s">
        <v>53</v>
      </c>
      <c r="R154" t="s">
        <v>62</v>
      </c>
      <c r="S154">
        <v>36.896900000000002</v>
      </c>
      <c r="T154">
        <v>30.7133</v>
      </c>
    </row>
    <row r="155" spans="1:20" x14ac:dyDescent="0.25">
      <c r="A155" t="s">
        <v>243</v>
      </c>
      <c r="B155" s="1">
        <v>45445</v>
      </c>
      <c r="C155" s="1">
        <v>45473</v>
      </c>
      <c r="D155" t="s">
        <v>21</v>
      </c>
      <c r="E155" t="s">
        <v>22</v>
      </c>
      <c r="F155" t="s">
        <v>23</v>
      </c>
      <c r="G155" t="s">
        <v>58</v>
      </c>
      <c r="H155" t="s">
        <v>25</v>
      </c>
      <c r="I155">
        <v>509</v>
      </c>
      <c r="J155">
        <v>35</v>
      </c>
      <c r="K155">
        <v>17815</v>
      </c>
      <c r="L155" t="s">
        <v>26</v>
      </c>
      <c r="M155" t="s">
        <v>44</v>
      </c>
      <c r="N155">
        <v>30</v>
      </c>
      <c r="O155" t="s">
        <v>52</v>
      </c>
      <c r="P155" t="s">
        <v>29</v>
      </c>
      <c r="Q155" t="s">
        <v>53</v>
      </c>
      <c r="R155" t="s">
        <v>54</v>
      </c>
      <c r="S155">
        <v>40.1828</v>
      </c>
      <c r="T155">
        <v>29.066500000000001</v>
      </c>
    </row>
    <row r="156" spans="1:20" x14ac:dyDescent="0.25">
      <c r="A156" t="s">
        <v>90</v>
      </c>
      <c r="B156" s="1">
        <v>45446</v>
      </c>
      <c r="C156" s="1">
        <v>45473</v>
      </c>
      <c r="D156" t="s">
        <v>41</v>
      </c>
      <c r="E156" t="s">
        <v>42</v>
      </c>
      <c r="F156" t="s">
        <v>71</v>
      </c>
      <c r="G156" t="s">
        <v>34</v>
      </c>
      <c r="H156" t="s">
        <v>25</v>
      </c>
      <c r="I156">
        <v>662</v>
      </c>
      <c r="J156">
        <v>71</v>
      </c>
      <c r="K156">
        <v>47002</v>
      </c>
      <c r="L156" t="s">
        <v>26</v>
      </c>
      <c r="M156" t="s">
        <v>51</v>
      </c>
      <c r="N156">
        <v>23</v>
      </c>
      <c r="O156" t="s">
        <v>87</v>
      </c>
      <c r="P156" t="s">
        <v>29</v>
      </c>
      <c r="Q156" t="s">
        <v>68</v>
      </c>
      <c r="R156" t="s">
        <v>91</v>
      </c>
      <c r="S156">
        <v>26.912400000000002</v>
      </c>
      <c r="T156">
        <v>75.787300000000002</v>
      </c>
    </row>
    <row r="157" spans="1:20" x14ac:dyDescent="0.25">
      <c r="A157" t="s">
        <v>224</v>
      </c>
      <c r="B157" s="1">
        <v>45447</v>
      </c>
      <c r="C157" s="1">
        <v>45473</v>
      </c>
      <c r="D157" t="s">
        <v>80</v>
      </c>
      <c r="E157" t="s">
        <v>42</v>
      </c>
      <c r="F157" t="s">
        <v>33</v>
      </c>
      <c r="G157" t="s">
        <v>58</v>
      </c>
      <c r="H157" t="s">
        <v>25</v>
      </c>
      <c r="I157">
        <v>569</v>
      </c>
      <c r="J157">
        <v>64</v>
      </c>
      <c r="K157">
        <v>36416</v>
      </c>
      <c r="L157" t="s">
        <v>26</v>
      </c>
      <c r="M157" t="s">
        <v>51</v>
      </c>
      <c r="N157">
        <v>27</v>
      </c>
      <c r="O157" t="s">
        <v>52</v>
      </c>
      <c r="P157" t="s">
        <v>29</v>
      </c>
      <c r="Q157" t="s">
        <v>53</v>
      </c>
      <c r="R157" t="s">
        <v>94</v>
      </c>
      <c r="S157">
        <v>38.419199999999996</v>
      </c>
      <c r="T157">
        <v>27.128699999999998</v>
      </c>
    </row>
    <row r="158" spans="1:20" x14ac:dyDescent="0.25">
      <c r="A158" t="s">
        <v>244</v>
      </c>
      <c r="B158" s="1">
        <v>45448</v>
      </c>
      <c r="C158" s="1">
        <v>45473</v>
      </c>
      <c r="D158" t="s">
        <v>41</v>
      </c>
      <c r="E158" t="s">
        <v>42</v>
      </c>
      <c r="F158" t="s">
        <v>71</v>
      </c>
      <c r="G158" t="s">
        <v>72</v>
      </c>
      <c r="H158" t="s">
        <v>25</v>
      </c>
      <c r="I158">
        <v>683</v>
      </c>
      <c r="J158">
        <v>27</v>
      </c>
      <c r="K158">
        <v>18441</v>
      </c>
      <c r="L158" t="s">
        <v>26</v>
      </c>
      <c r="M158" t="s">
        <v>44</v>
      </c>
      <c r="N158">
        <v>55</v>
      </c>
      <c r="O158" t="s">
        <v>37</v>
      </c>
      <c r="P158" t="s">
        <v>45</v>
      </c>
      <c r="Q158" t="s">
        <v>53</v>
      </c>
      <c r="R158" t="s">
        <v>62</v>
      </c>
      <c r="S158">
        <v>36.896900000000002</v>
      </c>
      <c r="T158">
        <v>30.7133</v>
      </c>
    </row>
    <row r="159" spans="1:20" x14ac:dyDescent="0.25">
      <c r="A159" t="s">
        <v>245</v>
      </c>
      <c r="B159" s="1">
        <v>45449</v>
      </c>
      <c r="C159" s="1">
        <v>45473</v>
      </c>
      <c r="D159" t="s">
        <v>159</v>
      </c>
      <c r="E159" t="s">
        <v>103</v>
      </c>
      <c r="F159" t="s">
        <v>71</v>
      </c>
      <c r="G159" t="s">
        <v>24</v>
      </c>
      <c r="H159" t="s">
        <v>104</v>
      </c>
      <c r="I159">
        <v>451</v>
      </c>
      <c r="J159">
        <v>86</v>
      </c>
      <c r="K159">
        <v>38786</v>
      </c>
      <c r="L159" t="s">
        <v>65</v>
      </c>
      <c r="M159" t="s">
        <v>27</v>
      </c>
      <c r="N159">
        <v>28</v>
      </c>
      <c r="O159" t="s">
        <v>52</v>
      </c>
      <c r="P159" t="s">
        <v>45</v>
      </c>
      <c r="Q159" t="s">
        <v>53</v>
      </c>
      <c r="R159" t="s">
        <v>94</v>
      </c>
      <c r="S159">
        <v>38.419199999999996</v>
      </c>
      <c r="T159">
        <v>27.128699999999998</v>
      </c>
    </row>
    <row r="160" spans="1:20" x14ac:dyDescent="0.25">
      <c r="A160" t="s">
        <v>246</v>
      </c>
      <c r="B160" s="1">
        <v>45450</v>
      </c>
      <c r="C160" s="1">
        <v>45473</v>
      </c>
      <c r="D160" t="s">
        <v>126</v>
      </c>
      <c r="E160" t="s">
        <v>103</v>
      </c>
      <c r="F160" t="s">
        <v>23</v>
      </c>
      <c r="G160" t="s">
        <v>24</v>
      </c>
      <c r="H160" t="s">
        <v>104</v>
      </c>
      <c r="I160">
        <v>876</v>
      </c>
      <c r="J160">
        <v>54</v>
      </c>
      <c r="K160">
        <v>47304</v>
      </c>
      <c r="L160" t="s">
        <v>65</v>
      </c>
      <c r="M160" t="s">
        <v>27</v>
      </c>
      <c r="N160">
        <v>19</v>
      </c>
      <c r="O160" t="s">
        <v>87</v>
      </c>
      <c r="P160" t="s">
        <v>45</v>
      </c>
      <c r="Q160" t="s">
        <v>68</v>
      </c>
      <c r="R160" t="s">
        <v>98</v>
      </c>
      <c r="S160">
        <v>22.572600000000001</v>
      </c>
      <c r="T160">
        <v>88.363900000000001</v>
      </c>
    </row>
    <row r="161" spans="1:20" x14ac:dyDescent="0.25">
      <c r="A161" t="s">
        <v>247</v>
      </c>
      <c r="B161" s="1">
        <v>45451</v>
      </c>
      <c r="C161" s="1">
        <v>45473</v>
      </c>
      <c r="D161" t="s">
        <v>82</v>
      </c>
      <c r="E161" t="s">
        <v>50</v>
      </c>
      <c r="F161" t="s">
        <v>33</v>
      </c>
      <c r="G161" t="s">
        <v>24</v>
      </c>
      <c r="H161" t="s">
        <v>25</v>
      </c>
      <c r="I161">
        <v>512</v>
      </c>
      <c r="J161">
        <v>64</v>
      </c>
      <c r="K161">
        <v>32768</v>
      </c>
      <c r="L161" t="s">
        <v>65</v>
      </c>
      <c r="M161" t="s">
        <v>27</v>
      </c>
      <c r="N161">
        <v>55</v>
      </c>
      <c r="O161" t="s">
        <v>37</v>
      </c>
      <c r="P161" t="s">
        <v>29</v>
      </c>
      <c r="Q161" t="s">
        <v>53</v>
      </c>
      <c r="R161" t="s">
        <v>62</v>
      </c>
      <c r="S161">
        <v>36.896900000000002</v>
      </c>
      <c r="T161">
        <v>30.7133</v>
      </c>
    </row>
    <row r="162" spans="1:20" x14ac:dyDescent="0.25">
      <c r="A162" t="s">
        <v>248</v>
      </c>
      <c r="B162" s="1">
        <v>45452</v>
      </c>
      <c r="C162" s="1">
        <v>45473</v>
      </c>
      <c r="D162" t="s">
        <v>116</v>
      </c>
      <c r="E162" t="s">
        <v>57</v>
      </c>
      <c r="F162" t="s">
        <v>33</v>
      </c>
      <c r="G162" t="s">
        <v>58</v>
      </c>
      <c r="H162" t="s">
        <v>25</v>
      </c>
      <c r="I162">
        <v>1248</v>
      </c>
      <c r="J162">
        <v>26</v>
      </c>
      <c r="K162">
        <v>32448</v>
      </c>
      <c r="L162" t="s">
        <v>26</v>
      </c>
      <c r="M162" t="s">
        <v>27</v>
      </c>
      <c r="N162">
        <v>56</v>
      </c>
      <c r="O162" t="s">
        <v>37</v>
      </c>
      <c r="P162" t="s">
        <v>38</v>
      </c>
      <c r="Q162" t="s">
        <v>68</v>
      </c>
      <c r="R162" t="s">
        <v>121</v>
      </c>
      <c r="S162">
        <v>12.9716</v>
      </c>
      <c r="T162">
        <v>77.5946</v>
      </c>
    </row>
    <row r="163" spans="1:20" x14ac:dyDescent="0.25">
      <c r="A163" t="s">
        <v>249</v>
      </c>
      <c r="B163" s="1">
        <v>45453</v>
      </c>
      <c r="C163" s="1">
        <v>45473</v>
      </c>
      <c r="D163" t="s">
        <v>120</v>
      </c>
      <c r="E163" t="s">
        <v>57</v>
      </c>
      <c r="F163" t="s">
        <v>71</v>
      </c>
      <c r="G163" t="s">
        <v>43</v>
      </c>
      <c r="H163" t="s">
        <v>25</v>
      </c>
      <c r="I163">
        <v>308</v>
      </c>
      <c r="J163">
        <v>56</v>
      </c>
      <c r="K163">
        <v>17248</v>
      </c>
      <c r="L163" t="s">
        <v>65</v>
      </c>
      <c r="M163" t="s">
        <v>27</v>
      </c>
      <c r="N163">
        <v>51</v>
      </c>
      <c r="O163" t="s">
        <v>37</v>
      </c>
      <c r="P163" t="s">
        <v>45</v>
      </c>
      <c r="Q163" t="s">
        <v>53</v>
      </c>
      <c r="R163" t="s">
        <v>94</v>
      </c>
      <c r="S163">
        <v>38.419199999999996</v>
      </c>
      <c r="T163">
        <v>27.128699999999998</v>
      </c>
    </row>
    <row r="164" spans="1:20" x14ac:dyDescent="0.25">
      <c r="A164" t="s">
        <v>250</v>
      </c>
      <c r="B164" s="1">
        <v>45454</v>
      </c>
      <c r="C164" s="1">
        <v>45473</v>
      </c>
      <c r="D164" t="s">
        <v>131</v>
      </c>
      <c r="E164" t="s">
        <v>103</v>
      </c>
      <c r="F164" t="s">
        <v>33</v>
      </c>
      <c r="G164" t="s">
        <v>72</v>
      </c>
      <c r="H164" t="s">
        <v>104</v>
      </c>
      <c r="I164">
        <v>813</v>
      </c>
      <c r="J164">
        <v>51</v>
      </c>
      <c r="K164">
        <v>41463</v>
      </c>
      <c r="L164" t="s">
        <v>65</v>
      </c>
      <c r="M164" t="s">
        <v>51</v>
      </c>
      <c r="N164">
        <v>56</v>
      </c>
      <c r="O164" t="s">
        <v>37</v>
      </c>
      <c r="P164" t="s">
        <v>45</v>
      </c>
      <c r="Q164" t="s">
        <v>46</v>
      </c>
      <c r="R164" t="s">
        <v>111</v>
      </c>
      <c r="S164">
        <v>22.845600000000001</v>
      </c>
      <c r="T164">
        <v>89.540300000000002</v>
      </c>
    </row>
    <row r="165" spans="1:20" x14ac:dyDescent="0.25">
      <c r="A165" t="s">
        <v>251</v>
      </c>
      <c r="B165" s="1">
        <v>45455</v>
      </c>
      <c r="C165" s="1">
        <v>45473</v>
      </c>
      <c r="D165" t="s">
        <v>56</v>
      </c>
      <c r="E165" t="s">
        <v>57</v>
      </c>
      <c r="F165" t="s">
        <v>23</v>
      </c>
      <c r="G165" t="s">
        <v>43</v>
      </c>
      <c r="H165" t="s">
        <v>25</v>
      </c>
      <c r="I165">
        <v>1850</v>
      </c>
      <c r="J165">
        <v>99</v>
      </c>
      <c r="K165">
        <v>183150</v>
      </c>
      <c r="L165" t="s">
        <v>26</v>
      </c>
      <c r="M165" t="s">
        <v>44</v>
      </c>
      <c r="N165">
        <v>46</v>
      </c>
      <c r="O165" t="s">
        <v>59</v>
      </c>
      <c r="P165" t="s">
        <v>45</v>
      </c>
      <c r="Q165" t="s">
        <v>68</v>
      </c>
      <c r="R165" t="s">
        <v>132</v>
      </c>
      <c r="S165">
        <v>13.082700000000001</v>
      </c>
      <c r="T165">
        <v>80.270700000000005</v>
      </c>
    </row>
    <row r="166" spans="1:20" x14ac:dyDescent="0.25">
      <c r="A166" t="s">
        <v>252</v>
      </c>
      <c r="B166" s="1">
        <v>45456</v>
      </c>
      <c r="C166" s="1">
        <v>45473</v>
      </c>
      <c r="D166" t="s">
        <v>96</v>
      </c>
      <c r="E166" t="s">
        <v>42</v>
      </c>
      <c r="F166" t="s">
        <v>33</v>
      </c>
      <c r="G166" t="s">
        <v>43</v>
      </c>
      <c r="H166" t="s">
        <v>25</v>
      </c>
      <c r="I166">
        <v>891</v>
      </c>
      <c r="J166">
        <v>83</v>
      </c>
      <c r="K166">
        <v>73953</v>
      </c>
      <c r="L166" t="s">
        <v>26</v>
      </c>
      <c r="M166" t="s">
        <v>36</v>
      </c>
      <c r="N166">
        <v>29</v>
      </c>
      <c r="O166" t="s">
        <v>52</v>
      </c>
      <c r="P166" t="s">
        <v>29</v>
      </c>
      <c r="Q166" t="s">
        <v>53</v>
      </c>
      <c r="R166" t="s">
        <v>100</v>
      </c>
      <c r="S166">
        <v>39.933399999999999</v>
      </c>
      <c r="T166">
        <v>32.859699999999997</v>
      </c>
    </row>
    <row r="167" spans="1:20" x14ac:dyDescent="0.25">
      <c r="A167" t="s">
        <v>253</v>
      </c>
      <c r="B167" s="1">
        <v>45457</v>
      </c>
      <c r="C167" s="1">
        <v>45473</v>
      </c>
      <c r="D167" t="s">
        <v>146</v>
      </c>
      <c r="E167" t="s">
        <v>57</v>
      </c>
      <c r="F167" t="s">
        <v>23</v>
      </c>
      <c r="G167" t="s">
        <v>58</v>
      </c>
      <c r="H167" t="s">
        <v>25</v>
      </c>
      <c r="I167">
        <v>452</v>
      </c>
      <c r="J167">
        <v>7</v>
      </c>
      <c r="K167">
        <v>3164</v>
      </c>
      <c r="L167" t="s">
        <v>65</v>
      </c>
      <c r="M167" t="s">
        <v>36</v>
      </c>
      <c r="N167">
        <v>22</v>
      </c>
      <c r="O167" t="s">
        <v>87</v>
      </c>
      <c r="P167" t="s">
        <v>45</v>
      </c>
      <c r="Q167" t="s">
        <v>68</v>
      </c>
      <c r="R167" t="s">
        <v>170</v>
      </c>
      <c r="S167">
        <v>23.022500000000001</v>
      </c>
      <c r="T167">
        <v>72.571399999999997</v>
      </c>
    </row>
    <row r="168" spans="1:20" x14ac:dyDescent="0.25">
      <c r="A168" t="s">
        <v>254</v>
      </c>
      <c r="B168" s="1">
        <v>45458</v>
      </c>
      <c r="C168" s="1">
        <v>45473</v>
      </c>
      <c r="D168" t="s">
        <v>49</v>
      </c>
      <c r="E168" t="s">
        <v>50</v>
      </c>
      <c r="F168" t="s">
        <v>23</v>
      </c>
      <c r="G168" t="s">
        <v>58</v>
      </c>
      <c r="H168" t="s">
        <v>25</v>
      </c>
      <c r="I168">
        <v>316</v>
      </c>
      <c r="J168">
        <v>18</v>
      </c>
      <c r="K168">
        <v>5688</v>
      </c>
      <c r="L168" t="s">
        <v>35</v>
      </c>
      <c r="M168" t="s">
        <v>44</v>
      </c>
      <c r="N168">
        <v>32</v>
      </c>
      <c r="O168" t="s">
        <v>52</v>
      </c>
      <c r="P168" t="s">
        <v>29</v>
      </c>
      <c r="Q168" t="s">
        <v>46</v>
      </c>
      <c r="R168" t="s">
        <v>47</v>
      </c>
      <c r="S168">
        <v>22.3569</v>
      </c>
      <c r="T168">
        <v>91.783199999999994</v>
      </c>
    </row>
    <row r="169" spans="1:20" x14ac:dyDescent="0.25">
      <c r="A169" s="2" t="s">
        <v>255</v>
      </c>
      <c r="B169" s="1">
        <v>45459</v>
      </c>
      <c r="C169" s="1">
        <v>45473</v>
      </c>
      <c r="D169" t="s">
        <v>21</v>
      </c>
      <c r="E169" t="s">
        <v>22</v>
      </c>
      <c r="F169" t="s">
        <v>71</v>
      </c>
      <c r="G169" t="s">
        <v>24</v>
      </c>
      <c r="H169" t="s">
        <v>25</v>
      </c>
      <c r="I169">
        <v>501</v>
      </c>
      <c r="J169">
        <v>24</v>
      </c>
      <c r="K169">
        <v>12024</v>
      </c>
      <c r="L169" t="s">
        <v>26</v>
      </c>
      <c r="M169" t="s">
        <v>44</v>
      </c>
      <c r="N169">
        <v>57</v>
      </c>
      <c r="O169" t="s">
        <v>37</v>
      </c>
      <c r="P169" t="s">
        <v>45</v>
      </c>
      <c r="Q169" t="s">
        <v>46</v>
      </c>
      <c r="R169" t="s">
        <v>47</v>
      </c>
      <c r="S169">
        <v>22.3569</v>
      </c>
      <c r="T169">
        <v>91.783199999999994</v>
      </c>
    </row>
    <row r="170" spans="1:20" x14ac:dyDescent="0.25">
      <c r="A170" t="s">
        <v>256</v>
      </c>
      <c r="B170" s="1">
        <v>45460</v>
      </c>
      <c r="C170" s="1">
        <v>45473</v>
      </c>
      <c r="D170" t="s">
        <v>80</v>
      </c>
      <c r="E170" t="s">
        <v>42</v>
      </c>
      <c r="F170" t="s">
        <v>33</v>
      </c>
      <c r="G170" t="s">
        <v>34</v>
      </c>
      <c r="H170" t="s">
        <v>25</v>
      </c>
      <c r="I170">
        <v>516</v>
      </c>
      <c r="J170">
        <v>66</v>
      </c>
      <c r="K170">
        <v>34056</v>
      </c>
      <c r="L170" t="s">
        <v>26</v>
      </c>
      <c r="M170" t="s">
        <v>36</v>
      </c>
      <c r="N170">
        <v>46</v>
      </c>
      <c r="O170" t="s">
        <v>59</v>
      </c>
      <c r="P170" t="s">
        <v>29</v>
      </c>
      <c r="Q170" t="s">
        <v>53</v>
      </c>
      <c r="R170" t="s">
        <v>100</v>
      </c>
      <c r="S170">
        <v>39.933399999999999</v>
      </c>
      <c r="T170">
        <v>32.859699999999997</v>
      </c>
    </row>
    <row r="171" spans="1:20" x14ac:dyDescent="0.25">
      <c r="A171" t="s">
        <v>257</v>
      </c>
      <c r="B171" s="1">
        <v>45461</v>
      </c>
      <c r="C171" s="1">
        <v>45473</v>
      </c>
      <c r="D171" t="s">
        <v>159</v>
      </c>
      <c r="E171" t="s">
        <v>103</v>
      </c>
      <c r="F171" t="s">
        <v>23</v>
      </c>
      <c r="G171" t="s">
        <v>72</v>
      </c>
      <c r="H171" t="s">
        <v>104</v>
      </c>
      <c r="I171">
        <v>442</v>
      </c>
      <c r="J171">
        <v>24</v>
      </c>
      <c r="K171">
        <v>10608</v>
      </c>
      <c r="L171" t="s">
        <v>26</v>
      </c>
      <c r="M171" t="s">
        <v>44</v>
      </c>
      <c r="N171">
        <v>25</v>
      </c>
      <c r="O171" t="s">
        <v>87</v>
      </c>
      <c r="P171" t="s">
        <v>45</v>
      </c>
      <c r="Q171" t="s">
        <v>68</v>
      </c>
      <c r="R171" t="s">
        <v>69</v>
      </c>
      <c r="S171">
        <v>18.520399999999999</v>
      </c>
      <c r="T171">
        <v>73.856700000000004</v>
      </c>
    </row>
    <row r="172" spans="1:20" x14ac:dyDescent="0.25">
      <c r="A172" t="s">
        <v>258</v>
      </c>
      <c r="B172" s="1">
        <v>45462</v>
      </c>
      <c r="C172" s="1">
        <v>45473</v>
      </c>
      <c r="D172" t="s">
        <v>78</v>
      </c>
      <c r="E172" t="s">
        <v>22</v>
      </c>
      <c r="F172" t="s">
        <v>23</v>
      </c>
      <c r="G172" t="s">
        <v>43</v>
      </c>
      <c r="H172" t="s">
        <v>25</v>
      </c>
      <c r="I172">
        <v>784</v>
      </c>
      <c r="J172">
        <v>12</v>
      </c>
      <c r="K172">
        <v>9408</v>
      </c>
      <c r="L172" t="s">
        <v>26</v>
      </c>
      <c r="M172" t="s">
        <v>36</v>
      </c>
      <c r="N172">
        <v>27</v>
      </c>
      <c r="O172" t="s">
        <v>52</v>
      </c>
      <c r="P172" t="s">
        <v>45</v>
      </c>
      <c r="Q172" t="s">
        <v>46</v>
      </c>
      <c r="R172" t="s">
        <v>76</v>
      </c>
      <c r="S172">
        <v>23.810300000000002</v>
      </c>
      <c r="T172">
        <v>90.412499999999994</v>
      </c>
    </row>
    <row r="173" spans="1:20" x14ac:dyDescent="0.25">
      <c r="A173" t="s">
        <v>222</v>
      </c>
      <c r="B173" s="1">
        <v>45463</v>
      </c>
      <c r="C173" s="1">
        <v>45473</v>
      </c>
      <c r="D173" t="s">
        <v>41</v>
      </c>
      <c r="E173" t="s">
        <v>42</v>
      </c>
      <c r="F173" t="s">
        <v>23</v>
      </c>
      <c r="G173" t="s">
        <v>72</v>
      </c>
      <c r="H173" t="s">
        <v>25</v>
      </c>
      <c r="I173">
        <v>669</v>
      </c>
      <c r="J173">
        <v>54</v>
      </c>
      <c r="K173">
        <v>36126</v>
      </c>
      <c r="L173" t="s">
        <v>35</v>
      </c>
      <c r="M173" t="s">
        <v>36</v>
      </c>
      <c r="N173">
        <v>43</v>
      </c>
      <c r="O173" t="s">
        <v>59</v>
      </c>
      <c r="P173" t="s">
        <v>45</v>
      </c>
      <c r="Q173" t="s">
        <v>68</v>
      </c>
      <c r="R173" t="s">
        <v>170</v>
      </c>
      <c r="S173">
        <v>23.022500000000001</v>
      </c>
      <c r="T173">
        <v>72.571399999999997</v>
      </c>
    </row>
    <row r="174" spans="1:20" x14ac:dyDescent="0.25">
      <c r="A174" t="s">
        <v>259</v>
      </c>
      <c r="B174" s="1">
        <v>45464</v>
      </c>
      <c r="C174" s="1">
        <v>45473</v>
      </c>
      <c r="D174" t="s">
        <v>41</v>
      </c>
      <c r="E174" t="s">
        <v>42</v>
      </c>
      <c r="F174" t="s">
        <v>33</v>
      </c>
      <c r="G174" t="s">
        <v>34</v>
      </c>
      <c r="H174" t="s">
        <v>25</v>
      </c>
      <c r="I174">
        <v>695</v>
      </c>
      <c r="J174">
        <v>51</v>
      </c>
      <c r="K174">
        <v>35445</v>
      </c>
      <c r="L174" t="s">
        <v>35</v>
      </c>
      <c r="M174" t="s">
        <v>27</v>
      </c>
      <c r="N174">
        <v>62</v>
      </c>
      <c r="O174" t="s">
        <v>66</v>
      </c>
      <c r="P174" t="s">
        <v>45</v>
      </c>
      <c r="Q174" t="s">
        <v>53</v>
      </c>
      <c r="R174" t="s">
        <v>62</v>
      </c>
      <c r="S174">
        <v>36.896900000000002</v>
      </c>
      <c r="T174">
        <v>30.7133</v>
      </c>
    </row>
    <row r="175" spans="1:20" x14ac:dyDescent="0.25">
      <c r="A175" t="s">
        <v>260</v>
      </c>
      <c r="B175" s="1">
        <v>45465</v>
      </c>
      <c r="C175" s="1">
        <v>45473</v>
      </c>
      <c r="D175" t="s">
        <v>146</v>
      </c>
      <c r="E175" t="s">
        <v>57</v>
      </c>
      <c r="F175" t="s">
        <v>71</v>
      </c>
      <c r="G175" t="s">
        <v>58</v>
      </c>
      <c r="H175" t="s">
        <v>25</v>
      </c>
      <c r="I175">
        <v>474</v>
      </c>
      <c r="J175">
        <v>92</v>
      </c>
      <c r="K175">
        <v>43608</v>
      </c>
      <c r="L175" t="s">
        <v>26</v>
      </c>
      <c r="M175" t="s">
        <v>44</v>
      </c>
      <c r="N175">
        <v>52</v>
      </c>
      <c r="O175" t="s">
        <v>37</v>
      </c>
      <c r="P175" t="s">
        <v>29</v>
      </c>
      <c r="Q175" t="s">
        <v>53</v>
      </c>
      <c r="R175" t="s">
        <v>54</v>
      </c>
      <c r="S175">
        <v>40.1828</v>
      </c>
      <c r="T175">
        <v>29.066500000000001</v>
      </c>
    </row>
    <row r="176" spans="1:20" x14ac:dyDescent="0.25">
      <c r="A176" t="s">
        <v>261</v>
      </c>
      <c r="B176" s="1">
        <v>45466</v>
      </c>
      <c r="C176" s="1">
        <v>45473</v>
      </c>
      <c r="D176" t="s">
        <v>116</v>
      </c>
      <c r="E176" t="s">
        <v>57</v>
      </c>
      <c r="F176" t="s">
        <v>71</v>
      </c>
      <c r="G176" t="s">
        <v>43</v>
      </c>
      <c r="H176" t="s">
        <v>25</v>
      </c>
      <c r="I176">
        <v>1255</v>
      </c>
      <c r="J176">
        <v>26</v>
      </c>
      <c r="K176">
        <v>32630</v>
      </c>
      <c r="L176" t="s">
        <v>26</v>
      </c>
      <c r="M176" t="s">
        <v>51</v>
      </c>
      <c r="N176">
        <v>39</v>
      </c>
      <c r="O176" t="s">
        <v>28</v>
      </c>
      <c r="P176" t="s">
        <v>45</v>
      </c>
      <c r="Q176" t="s">
        <v>53</v>
      </c>
      <c r="R176" t="s">
        <v>94</v>
      </c>
      <c r="S176">
        <v>38.419199999999996</v>
      </c>
      <c r="T176">
        <v>27.128699999999998</v>
      </c>
    </row>
    <row r="177" spans="1:20" x14ac:dyDescent="0.25">
      <c r="A177" t="s">
        <v>262</v>
      </c>
      <c r="B177" s="1">
        <v>45467</v>
      </c>
      <c r="C177" s="1">
        <v>45473</v>
      </c>
      <c r="D177" t="s">
        <v>75</v>
      </c>
      <c r="E177" t="s">
        <v>50</v>
      </c>
      <c r="F177" t="s">
        <v>33</v>
      </c>
      <c r="G177" t="s">
        <v>58</v>
      </c>
      <c r="H177" t="s">
        <v>25</v>
      </c>
      <c r="I177">
        <v>386</v>
      </c>
      <c r="J177">
        <v>57</v>
      </c>
      <c r="K177">
        <v>22002</v>
      </c>
      <c r="L177" t="s">
        <v>65</v>
      </c>
      <c r="M177" t="s">
        <v>44</v>
      </c>
      <c r="N177">
        <v>38</v>
      </c>
      <c r="O177" t="s">
        <v>28</v>
      </c>
      <c r="P177" t="s">
        <v>38</v>
      </c>
      <c r="Q177" t="s">
        <v>53</v>
      </c>
      <c r="R177" t="s">
        <v>94</v>
      </c>
      <c r="S177">
        <v>38.419199999999996</v>
      </c>
      <c r="T177">
        <v>27.128699999999998</v>
      </c>
    </row>
    <row r="178" spans="1:20" x14ac:dyDescent="0.25">
      <c r="A178" t="s">
        <v>263</v>
      </c>
      <c r="B178" s="1">
        <v>45468</v>
      </c>
      <c r="C178" s="1">
        <v>45473</v>
      </c>
      <c r="D178" t="s">
        <v>80</v>
      </c>
      <c r="E178" t="s">
        <v>42</v>
      </c>
      <c r="F178" t="s">
        <v>23</v>
      </c>
      <c r="G178" t="s">
        <v>34</v>
      </c>
      <c r="H178" t="s">
        <v>25</v>
      </c>
      <c r="I178">
        <v>504</v>
      </c>
      <c r="J178">
        <v>32</v>
      </c>
      <c r="K178">
        <v>16128</v>
      </c>
      <c r="L178" t="s">
        <v>26</v>
      </c>
      <c r="M178" t="s">
        <v>44</v>
      </c>
      <c r="N178">
        <v>31</v>
      </c>
      <c r="O178" t="s">
        <v>52</v>
      </c>
      <c r="P178" t="s">
        <v>29</v>
      </c>
      <c r="Q178" t="s">
        <v>68</v>
      </c>
      <c r="R178" t="s">
        <v>88</v>
      </c>
      <c r="S178">
        <v>17.385000000000002</v>
      </c>
      <c r="T178">
        <v>78.486699999999999</v>
      </c>
    </row>
    <row r="179" spans="1:20" x14ac:dyDescent="0.25">
      <c r="A179" t="s">
        <v>264</v>
      </c>
      <c r="B179" s="1">
        <v>45469</v>
      </c>
      <c r="C179" s="1">
        <v>45473</v>
      </c>
      <c r="D179" t="s">
        <v>116</v>
      </c>
      <c r="E179" t="s">
        <v>57</v>
      </c>
      <c r="F179" t="s">
        <v>71</v>
      </c>
      <c r="G179" t="s">
        <v>43</v>
      </c>
      <c r="H179" t="s">
        <v>25</v>
      </c>
      <c r="I179">
        <v>1265</v>
      </c>
      <c r="J179">
        <v>75</v>
      </c>
      <c r="K179">
        <v>94875</v>
      </c>
      <c r="L179" t="s">
        <v>26</v>
      </c>
      <c r="M179" t="s">
        <v>51</v>
      </c>
      <c r="N179">
        <v>53</v>
      </c>
      <c r="O179" t="s">
        <v>37</v>
      </c>
      <c r="P179" t="s">
        <v>29</v>
      </c>
      <c r="Q179" t="s">
        <v>68</v>
      </c>
      <c r="R179" t="s">
        <v>98</v>
      </c>
      <c r="S179">
        <v>22.572600000000001</v>
      </c>
      <c r="T179">
        <v>88.363900000000001</v>
      </c>
    </row>
    <row r="180" spans="1:20" x14ac:dyDescent="0.25">
      <c r="A180" t="s">
        <v>265</v>
      </c>
      <c r="B180" s="1">
        <v>45470</v>
      </c>
      <c r="C180" s="1">
        <v>45473</v>
      </c>
      <c r="D180" t="s">
        <v>159</v>
      </c>
      <c r="E180" t="s">
        <v>103</v>
      </c>
      <c r="F180" t="s">
        <v>33</v>
      </c>
      <c r="G180" t="s">
        <v>24</v>
      </c>
      <c r="H180" t="s">
        <v>104</v>
      </c>
      <c r="I180">
        <v>478</v>
      </c>
      <c r="J180">
        <v>50</v>
      </c>
      <c r="K180">
        <v>23900</v>
      </c>
      <c r="L180" t="s">
        <v>26</v>
      </c>
      <c r="M180" t="s">
        <v>44</v>
      </c>
      <c r="N180">
        <v>49</v>
      </c>
      <c r="O180" t="s">
        <v>59</v>
      </c>
      <c r="P180" t="s">
        <v>29</v>
      </c>
      <c r="Q180" t="s">
        <v>30</v>
      </c>
      <c r="R180" t="s">
        <v>266</v>
      </c>
      <c r="S180">
        <v>33.684399999999997</v>
      </c>
      <c r="T180">
        <v>73.047899999999998</v>
      </c>
    </row>
    <row r="181" spans="1:20" x14ac:dyDescent="0.25">
      <c r="A181" t="s">
        <v>267</v>
      </c>
      <c r="B181" s="1">
        <v>45471</v>
      </c>
      <c r="C181" s="1">
        <v>45473</v>
      </c>
      <c r="D181" t="s">
        <v>96</v>
      </c>
      <c r="E181" t="s">
        <v>42</v>
      </c>
      <c r="F181" t="s">
        <v>71</v>
      </c>
      <c r="G181" t="s">
        <v>34</v>
      </c>
      <c r="H181" t="s">
        <v>25</v>
      </c>
      <c r="I181">
        <v>835</v>
      </c>
      <c r="J181">
        <v>71</v>
      </c>
      <c r="K181">
        <v>59285</v>
      </c>
      <c r="L181" t="s">
        <v>26</v>
      </c>
      <c r="M181" t="s">
        <v>44</v>
      </c>
      <c r="N181">
        <v>61</v>
      </c>
      <c r="O181" t="s">
        <v>66</v>
      </c>
      <c r="P181" t="s">
        <v>29</v>
      </c>
      <c r="Q181" t="s">
        <v>68</v>
      </c>
      <c r="R181" t="s">
        <v>88</v>
      </c>
      <c r="S181">
        <v>17.385000000000002</v>
      </c>
      <c r="T181">
        <v>78.486699999999999</v>
      </c>
    </row>
    <row r="182" spans="1:20" x14ac:dyDescent="0.25">
      <c r="A182" t="s">
        <v>268</v>
      </c>
      <c r="B182" s="1">
        <v>45472</v>
      </c>
      <c r="C182" s="1">
        <v>45473</v>
      </c>
      <c r="D182" t="s">
        <v>80</v>
      </c>
      <c r="E182" t="s">
        <v>42</v>
      </c>
      <c r="F182" t="s">
        <v>71</v>
      </c>
      <c r="G182" t="s">
        <v>34</v>
      </c>
      <c r="H182" t="s">
        <v>25</v>
      </c>
      <c r="I182">
        <v>562</v>
      </c>
      <c r="J182">
        <v>57</v>
      </c>
      <c r="K182">
        <v>32034</v>
      </c>
      <c r="L182" t="s">
        <v>26</v>
      </c>
      <c r="M182" t="s">
        <v>51</v>
      </c>
      <c r="N182">
        <v>41</v>
      </c>
      <c r="O182" t="s">
        <v>28</v>
      </c>
      <c r="P182" t="s">
        <v>29</v>
      </c>
      <c r="Q182" t="s">
        <v>46</v>
      </c>
      <c r="R182" t="s">
        <v>118</v>
      </c>
      <c r="S182">
        <v>24.8949</v>
      </c>
      <c r="T182">
        <v>91.868700000000004</v>
      </c>
    </row>
    <row r="183" spans="1:20" x14ac:dyDescent="0.25">
      <c r="A183" t="s">
        <v>226</v>
      </c>
      <c r="B183" s="1">
        <v>45473</v>
      </c>
      <c r="C183" s="1">
        <v>45473</v>
      </c>
      <c r="D183" t="s">
        <v>82</v>
      </c>
      <c r="E183" t="s">
        <v>50</v>
      </c>
      <c r="F183" t="s">
        <v>71</v>
      </c>
      <c r="G183" t="s">
        <v>72</v>
      </c>
      <c r="H183" t="s">
        <v>25</v>
      </c>
      <c r="I183">
        <v>528</v>
      </c>
      <c r="J183">
        <v>16</v>
      </c>
      <c r="K183">
        <v>8448</v>
      </c>
      <c r="L183" t="s">
        <v>26</v>
      </c>
      <c r="M183" t="s">
        <v>44</v>
      </c>
      <c r="N183">
        <v>29</v>
      </c>
      <c r="O183" t="s">
        <v>52</v>
      </c>
      <c r="P183" t="s">
        <v>45</v>
      </c>
      <c r="Q183" t="s">
        <v>53</v>
      </c>
      <c r="R183" t="s">
        <v>94</v>
      </c>
      <c r="S183">
        <v>38.419199999999996</v>
      </c>
      <c r="T183">
        <v>27.128699999999998</v>
      </c>
    </row>
    <row r="184" spans="1:20" x14ac:dyDescent="0.25">
      <c r="A184" t="s">
        <v>269</v>
      </c>
      <c r="B184" s="1">
        <v>45474</v>
      </c>
      <c r="C184" s="1">
        <v>45504</v>
      </c>
      <c r="D184" t="s">
        <v>64</v>
      </c>
      <c r="E184" t="s">
        <v>50</v>
      </c>
      <c r="F184" t="s">
        <v>71</v>
      </c>
      <c r="G184" t="s">
        <v>43</v>
      </c>
      <c r="H184" t="s">
        <v>25</v>
      </c>
      <c r="I184">
        <v>818</v>
      </c>
      <c r="J184">
        <v>43</v>
      </c>
      <c r="K184">
        <v>35174</v>
      </c>
      <c r="L184" t="s">
        <v>26</v>
      </c>
      <c r="M184" t="s">
        <v>51</v>
      </c>
      <c r="N184">
        <v>33</v>
      </c>
      <c r="O184" t="s">
        <v>52</v>
      </c>
      <c r="P184" t="s">
        <v>29</v>
      </c>
      <c r="Q184" t="s">
        <v>53</v>
      </c>
      <c r="R184" t="s">
        <v>54</v>
      </c>
      <c r="S184">
        <v>40.1828</v>
      </c>
      <c r="T184">
        <v>29.066500000000001</v>
      </c>
    </row>
    <row r="185" spans="1:20" x14ac:dyDescent="0.25">
      <c r="A185" t="s">
        <v>270</v>
      </c>
      <c r="B185" s="1">
        <v>45475</v>
      </c>
      <c r="C185" s="1">
        <v>45504</v>
      </c>
      <c r="D185" t="s">
        <v>159</v>
      </c>
      <c r="E185" t="s">
        <v>103</v>
      </c>
      <c r="F185" t="s">
        <v>33</v>
      </c>
      <c r="G185" t="s">
        <v>43</v>
      </c>
      <c r="H185" t="s">
        <v>104</v>
      </c>
      <c r="I185">
        <v>433</v>
      </c>
      <c r="J185">
        <v>90</v>
      </c>
      <c r="K185">
        <v>38970</v>
      </c>
      <c r="L185" t="s">
        <v>26</v>
      </c>
      <c r="M185" t="s">
        <v>27</v>
      </c>
      <c r="N185">
        <v>24</v>
      </c>
      <c r="O185" t="s">
        <v>87</v>
      </c>
      <c r="P185" t="s">
        <v>38</v>
      </c>
      <c r="Q185" t="s">
        <v>68</v>
      </c>
      <c r="R185" t="s">
        <v>195</v>
      </c>
      <c r="S185">
        <v>19.076000000000001</v>
      </c>
      <c r="T185">
        <v>72.877700000000004</v>
      </c>
    </row>
    <row r="186" spans="1:20" x14ac:dyDescent="0.25">
      <c r="A186" t="s">
        <v>271</v>
      </c>
      <c r="B186" s="1">
        <v>45476</v>
      </c>
      <c r="C186" s="1">
        <v>45504</v>
      </c>
      <c r="D186" t="s">
        <v>64</v>
      </c>
      <c r="E186" t="s">
        <v>50</v>
      </c>
      <c r="F186" t="s">
        <v>33</v>
      </c>
      <c r="G186" t="s">
        <v>72</v>
      </c>
      <c r="H186" t="s">
        <v>25</v>
      </c>
      <c r="I186">
        <v>870</v>
      </c>
      <c r="J186">
        <v>72</v>
      </c>
      <c r="K186">
        <v>62640</v>
      </c>
      <c r="L186" t="s">
        <v>26</v>
      </c>
      <c r="M186" t="s">
        <v>51</v>
      </c>
      <c r="N186">
        <v>26</v>
      </c>
      <c r="O186" t="s">
        <v>52</v>
      </c>
      <c r="P186" t="s">
        <v>45</v>
      </c>
      <c r="Q186" t="s">
        <v>53</v>
      </c>
      <c r="R186" t="s">
        <v>62</v>
      </c>
      <c r="S186">
        <v>36.896900000000002</v>
      </c>
      <c r="T186">
        <v>30.7133</v>
      </c>
    </row>
    <row r="187" spans="1:20" x14ac:dyDescent="0.25">
      <c r="A187" t="s">
        <v>272</v>
      </c>
      <c r="B187" s="1">
        <v>45477</v>
      </c>
      <c r="C187" s="1">
        <v>45504</v>
      </c>
      <c r="D187" t="s">
        <v>85</v>
      </c>
      <c r="E187" t="s">
        <v>22</v>
      </c>
      <c r="F187" t="s">
        <v>23</v>
      </c>
      <c r="G187" t="s">
        <v>43</v>
      </c>
      <c r="H187" t="s">
        <v>25</v>
      </c>
      <c r="I187">
        <v>1098</v>
      </c>
      <c r="J187">
        <v>80</v>
      </c>
      <c r="K187">
        <v>87840</v>
      </c>
      <c r="L187" t="s">
        <v>65</v>
      </c>
      <c r="M187" t="s">
        <v>44</v>
      </c>
      <c r="N187">
        <v>61</v>
      </c>
      <c r="O187" t="s">
        <v>66</v>
      </c>
      <c r="P187" t="s">
        <v>45</v>
      </c>
      <c r="Q187" t="s">
        <v>68</v>
      </c>
      <c r="R187" t="s">
        <v>195</v>
      </c>
      <c r="S187">
        <v>19.076000000000001</v>
      </c>
      <c r="T187">
        <v>72.877700000000004</v>
      </c>
    </row>
    <row r="188" spans="1:20" x14ac:dyDescent="0.25">
      <c r="A188" t="s">
        <v>273</v>
      </c>
      <c r="B188" s="1">
        <v>45478</v>
      </c>
      <c r="C188" s="1">
        <v>45504</v>
      </c>
      <c r="D188" t="s">
        <v>78</v>
      </c>
      <c r="E188" t="s">
        <v>22</v>
      </c>
      <c r="F188" t="s">
        <v>23</v>
      </c>
      <c r="G188" t="s">
        <v>72</v>
      </c>
      <c r="H188" t="s">
        <v>25</v>
      </c>
      <c r="I188">
        <v>779</v>
      </c>
      <c r="J188">
        <v>47</v>
      </c>
      <c r="K188">
        <v>36613</v>
      </c>
      <c r="L188" t="s">
        <v>26</v>
      </c>
      <c r="M188" t="s">
        <v>44</v>
      </c>
      <c r="N188">
        <v>58</v>
      </c>
      <c r="O188" t="s">
        <v>66</v>
      </c>
      <c r="P188" t="s">
        <v>29</v>
      </c>
      <c r="Q188" t="s">
        <v>68</v>
      </c>
      <c r="R188" t="s">
        <v>195</v>
      </c>
      <c r="S188">
        <v>19.076000000000001</v>
      </c>
      <c r="T188">
        <v>72.877700000000004</v>
      </c>
    </row>
    <row r="189" spans="1:20" x14ac:dyDescent="0.25">
      <c r="A189" t="s">
        <v>274</v>
      </c>
      <c r="B189" s="1">
        <v>45479</v>
      </c>
      <c r="C189" s="1">
        <v>45504</v>
      </c>
      <c r="D189" t="s">
        <v>41</v>
      </c>
      <c r="E189" t="s">
        <v>42</v>
      </c>
      <c r="F189" t="s">
        <v>71</v>
      </c>
      <c r="G189" t="s">
        <v>72</v>
      </c>
      <c r="H189" t="s">
        <v>25</v>
      </c>
      <c r="I189">
        <v>649</v>
      </c>
      <c r="J189">
        <v>58</v>
      </c>
      <c r="K189">
        <v>37642</v>
      </c>
      <c r="L189" t="s">
        <v>26</v>
      </c>
      <c r="M189" t="s">
        <v>44</v>
      </c>
      <c r="N189">
        <v>64</v>
      </c>
      <c r="O189" t="s">
        <v>66</v>
      </c>
      <c r="P189" t="s">
        <v>38</v>
      </c>
      <c r="Q189" t="s">
        <v>68</v>
      </c>
      <c r="R189" t="s">
        <v>88</v>
      </c>
      <c r="S189">
        <v>17.385000000000002</v>
      </c>
      <c r="T189">
        <v>78.486699999999999</v>
      </c>
    </row>
    <row r="190" spans="1:20" x14ac:dyDescent="0.25">
      <c r="A190" t="s">
        <v>275</v>
      </c>
      <c r="B190" s="1">
        <v>45480</v>
      </c>
      <c r="C190" s="1">
        <v>45504</v>
      </c>
      <c r="D190" t="s">
        <v>56</v>
      </c>
      <c r="E190" t="s">
        <v>57</v>
      </c>
      <c r="F190" t="s">
        <v>23</v>
      </c>
      <c r="G190" t="s">
        <v>58</v>
      </c>
      <c r="H190" t="s">
        <v>25</v>
      </c>
      <c r="I190">
        <v>1845</v>
      </c>
      <c r="J190">
        <v>25</v>
      </c>
      <c r="K190">
        <v>46125</v>
      </c>
      <c r="L190" t="s">
        <v>35</v>
      </c>
      <c r="M190" t="s">
        <v>51</v>
      </c>
      <c r="N190">
        <v>55</v>
      </c>
      <c r="O190" t="s">
        <v>37</v>
      </c>
      <c r="P190" t="s">
        <v>29</v>
      </c>
      <c r="Q190" t="s">
        <v>68</v>
      </c>
      <c r="R190" t="s">
        <v>132</v>
      </c>
      <c r="S190">
        <v>13.082700000000001</v>
      </c>
      <c r="T190">
        <v>80.270700000000005</v>
      </c>
    </row>
    <row r="191" spans="1:20" x14ac:dyDescent="0.25">
      <c r="A191" t="s">
        <v>128</v>
      </c>
      <c r="B191" s="1">
        <v>45481</v>
      </c>
      <c r="C191" s="1">
        <v>45504</v>
      </c>
      <c r="D191" t="s">
        <v>129</v>
      </c>
      <c r="E191" t="s">
        <v>103</v>
      </c>
      <c r="F191" t="s">
        <v>71</v>
      </c>
      <c r="G191" t="s">
        <v>34</v>
      </c>
      <c r="H191" t="s">
        <v>104</v>
      </c>
      <c r="I191">
        <v>1134</v>
      </c>
      <c r="J191">
        <v>54</v>
      </c>
      <c r="K191">
        <v>61236</v>
      </c>
      <c r="L191" t="s">
        <v>26</v>
      </c>
      <c r="M191" t="s">
        <v>44</v>
      </c>
      <c r="N191">
        <v>27</v>
      </c>
      <c r="O191" t="s">
        <v>52</v>
      </c>
      <c r="P191" t="s">
        <v>29</v>
      </c>
      <c r="Q191" t="s">
        <v>53</v>
      </c>
      <c r="R191" t="s">
        <v>54</v>
      </c>
      <c r="S191">
        <v>40.1828</v>
      </c>
      <c r="T191">
        <v>29.066500000000001</v>
      </c>
    </row>
    <row r="192" spans="1:20" x14ac:dyDescent="0.25">
      <c r="A192" t="s">
        <v>276</v>
      </c>
      <c r="B192" s="1">
        <v>45482</v>
      </c>
      <c r="C192" s="1">
        <v>45504</v>
      </c>
      <c r="D192" t="s">
        <v>85</v>
      </c>
      <c r="E192" t="s">
        <v>22</v>
      </c>
      <c r="F192" t="s">
        <v>23</v>
      </c>
      <c r="G192" t="s">
        <v>58</v>
      </c>
      <c r="H192" t="s">
        <v>25</v>
      </c>
      <c r="I192">
        <v>1013</v>
      </c>
      <c r="J192">
        <v>14</v>
      </c>
      <c r="K192">
        <v>14182</v>
      </c>
      <c r="L192" t="s">
        <v>26</v>
      </c>
      <c r="M192" t="s">
        <v>44</v>
      </c>
      <c r="N192">
        <v>23</v>
      </c>
      <c r="O192" t="s">
        <v>87</v>
      </c>
      <c r="P192" t="s">
        <v>29</v>
      </c>
      <c r="Q192" t="s">
        <v>68</v>
      </c>
      <c r="R192" t="s">
        <v>170</v>
      </c>
      <c r="S192">
        <v>23.022500000000001</v>
      </c>
      <c r="T192">
        <v>72.571399999999997</v>
      </c>
    </row>
    <row r="193" spans="1:20" x14ac:dyDescent="0.25">
      <c r="A193" t="s">
        <v>277</v>
      </c>
      <c r="B193" s="1">
        <v>45483</v>
      </c>
      <c r="C193" s="1">
        <v>45504</v>
      </c>
      <c r="D193" t="s">
        <v>78</v>
      </c>
      <c r="E193" t="s">
        <v>22</v>
      </c>
      <c r="F193" t="s">
        <v>33</v>
      </c>
      <c r="G193" t="s">
        <v>43</v>
      </c>
      <c r="H193" t="s">
        <v>25</v>
      </c>
      <c r="I193">
        <v>771</v>
      </c>
      <c r="J193">
        <v>85</v>
      </c>
      <c r="K193">
        <v>65535</v>
      </c>
      <c r="L193" t="s">
        <v>26</v>
      </c>
      <c r="M193" t="s">
        <v>36</v>
      </c>
      <c r="N193">
        <v>62</v>
      </c>
      <c r="O193" t="s">
        <v>66</v>
      </c>
      <c r="P193" t="s">
        <v>45</v>
      </c>
      <c r="Q193" t="s">
        <v>68</v>
      </c>
      <c r="R193" t="s">
        <v>127</v>
      </c>
      <c r="S193">
        <v>26.846699999999998</v>
      </c>
      <c r="T193">
        <v>80.946200000000005</v>
      </c>
    </row>
    <row r="194" spans="1:20" x14ac:dyDescent="0.25">
      <c r="A194" t="s">
        <v>105</v>
      </c>
      <c r="B194" s="1">
        <v>45484</v>
      </c>
      <c r="C194" s="1">
        <v>45504</v>
      </c>
      <c r="D194" t="s">
        <v>64</v>
      </c>
      <c r="E194" t="s">
        <v>50</v>
      </c>
      <c r="F194" t="s">
        <v>23</v>
      </c>
      <c r="G194" t="s">
        <v>58</v>
      </c>
      <c r="H194" t="s">
        <v>25</v>
      </c>
      <c r="I194">
        <v>824</v>
      </c>
      <c r="J194">
        <v>88</v>
      </c>
      <c r="K194">
        <v>72512</v>
      </c>
      <c r="L194" t="s">
        <v>26</v>
      </c>
      <c r="M194" t="s">
        <v>36</v>
      </c>
      <c r="N194">
        <v>42</v>
      </c>
      <c r="O194" t="s">
        <v>59</v>
      </c>
      <c r="P194" t="s">
        <v>45</v>
      </c>
      <c r="Q194" t="s">
        <v>53</v>
      </c>
      <c r="R194" t="s">
        <v>100</v>
      </c>
      <c r="S194">
        <v>39.933399999999999</v>
      </c>
      <c r="T194">
        <v>32.859699999999997</v>
      </c>
    </row>
    <row r="195" spans="1:20" x14ac:dyDescent="0.25">
      <c r="A195" t="s">
        <v>278</v>
      </c>
      <c r="B195" s="1">
        <v>45485</v>
      </c>
      <c r="C195" s="1">
        <v>45504</v>
      </c>
      <c r="D195" t="s">
        <v>102</v>
      </c>
      <c r="E195" t="s">
        <v>103</v>
      </c>
      <c r="F195" t="s">
        <v>33</v>
      </c>
      <c r="G195" t="s">
        <v>34</v>
      </c>
      <c r="H195" t="s">
        <v>104</v>
      </c>
      <c r="I195">
        <v>1076</v>
      </c>
      <c r="J195">
        <v>21</v>
      </c>
      <c r="K195">
        <v>22596</v>
      </c>
      <c r="L195" t="s">
        <v>26</v>
      </c>
      <c r="M195" t="s">
        <v>51</v>
      </c>
      <c r="N195">
        <v>42</v>
      </c>
      <c r="O195" t="s">
        <v>59</v>
      </c>
      <c r="P195" t="s">
        <v>45</v>
      </c>
      <c r="Q195" t="s">
        <v>68</v>
      </c>
      <c r="R195" t="s">
        <v>83</v>
      </c>
      <c r="S195">
        <v>28.7041</v>
      </c>
      <c r="T195">
        <v>77.102500000000006</v>
      </c>
    </row>
    <row r="196" spans="1:20" x14ac:dyDescent="0.25">
      <c r="A196" t="s">
        <v>278</v>
      </c>
      <c r="B196" s="1">
        <v>45486</v>
      </c>
      <c r="C196" s="1">
        <v>45504</v>
      </c>
      <c r="D196" t="s">
        <v>102</v>
      </c>
      <c r="E196" t="s">
        <v>103</v>
      </c>
      <c r="F196" t="s">
        <v>33</v>
      </c>
      <c r="G196" t="s">
        <v>34</v>
      </c>
      <c r="H196" t="s">
        <v>104</v>
      </c>
      <c r="I196">
        <v>1076</v>
      </c>
      <c r="J196">
        <v>21</v>
      </c>
      <c r="K196">
        <v>22596</v>
      </c>
      <c r="L196" t="s">
        <v>26</v>
      </c>
      <c r="M196" t="s">
        <v>51</v>
      </c>
      <c r="N196">
        <v>42</v>
      </c>
      <c r="O196" t="s">
        <v>59</v>
      </c>
      <c r="P196" t="s">
        <v>45</v>
      </c>
      <c r="Q196" t="s">
        <v>68</v>
      </c>
      <c r="R196" t="s">
        <v>83</v>
      </c>
      <c r="S196">
        <v>28.7041</v>
      </c>
      <c r="T196">
        <v>77.102500000000006</v>
      </c>
    </row>
    <row r="197" spans="1:20" x14ac:dyDescent="0.25">
      <c r="A197" t="s">
        <v>279</v>
      </c>
      <c r="B197" s="1">
        <v>45487</v>
      </c>
      <c r="C197" s="1">
        <v>45504</v>
      </c>
      <c r="D197" t="s">
        <v>102</v>
      </c>
      <c r="E197" t="s">
        <v>103</v>
      </c>
      <c r="F197" t="s">
        <v>33</v>
      </c>
      <c r="G197" t="s">
        <v>72</v>
      </c>
      <c r="H197" t="s">
        <v>104</v>
      </c>
      <c r="I197">
        <v>1022</v>
      </c>
      <c r="J197">
        <v>79</v>
      </c>
      <c r="K197">
        <v>80738</v>
      </c>
      <c r="L197" t="s">
        <v>26</v>
      </c>
      <c r="M197" t="s">
        <v>27</v>
      </c>
      <c r="N197">
        <v>55</v>
      </c>
      <c r="O197" t="s">
        <v>37</v>
      </c>
      <c r="P197" t="s">
        <v>29</v>
      </c>
      <c r="Q197" t="s">
        <v>68</v>
      </c>
      <c r="R197" t="s">
        <v>127</v>
      </c>
      <c r="S197">
        <v>26.846699999999998</v>
      </c>
      <c r="T197">
        <v>80.946200000000005</v>
      </c>
    </row>
    <row r="198" spans="1:20" x14ac:dyDescent="0.25">
      <c r="A198" t="s">
        <v>280</v>
      </c>
      <c r="B198" s="1">
        <v>45488</v>
      </c>
      <c r="C198" s="1">
        <v>45504</v>
      </c>
      <c r="D198" t="s">
        <v>85</v>
      </c>
      <c r="E198" t="s">
        <v>22</v>
      </c>
      <c r="F198" t="s">
        <v>23</v>
      </c>
      <c r="G198" t="s">
        <v>34</v>
      </c>
      <c r="H198" t="s">
        <v>25</v>
      </c>
      <c r="I198">
        <v>1034</v>
      </c>
      <c r="J198">
        <v>15</v>
      </c>
      <c r="K198">
        <v>15510</v>
      </c>
      <c r="L198" t="s">
        <v>35</v>
      </c>
      <c r="M198" t="s">
        <v>36</v>
      </c>
      <c r="N198">
        <v>23</v>
      </c>
      <c r="O198" t="s">
        <v>87</v>
      </c>
      <c r="P198" t="s">
        <v>29</v>
      </c>
      <c r="Q198" t="s">
        <v>68</v>
      </c>
      <c r="R198" t="s">
        <v>195</v>
      </c>
      <c r="S198">
        <v>19.076000000000001</v>
      </c>
      <c r="T198">
        <v>72.877700000000004</v>
      </c>
    </row>
    <row r="199" spans="1:20" x14ac:dyDescent="0.25">
      <c r="A199" t="s">
        <v>105</v>
      </c>
      <c r="B199" s="1">
        <v>45489</v>
      </c>
      <c r="C199" s="1">
        <v>45504</v>
      </c>
      <c r="D199" t="s">
        <v>64</v>
      </c>
      <c r="E199" t="s">
        <v>50</v>
      </c>
      <c r="F199" t="s">
        <v>23</v>
      </c>
      <c r="G199" t="s">
        <v>58</v>
      </c>
      <c r="H199" t="s">
        <v>25</v>
      </c>
      <c r="I199">
        <v>824</v>
      </c>
      <c r="J199">
        <v>88</v>
      </c>
      <c r="K199">
        <v>72512</v>
      </c>
      <c r="L199" t="s">
        <v>26</v>
      </c>
      <c r="M199" t="s">
        <v>36</v>
      </c>
      <c r="N199">
        <v>42</v>
      </c>
      <c r="O199" t="s">
        <v>59</v>
      </c>
      <c r="P199" t="s">
        <v>45</v>
      </c>
      <c r="Q199" t="s">
        <v>53</v>
      </c>
      <c r="R199" t="s">
        <v>100</v>
      </c>
      <c r="S199">
        <v>39.933399999999999</v>
      </c>
      <c r="T199">
        <v>32.859699999999997</v>
      </c>
    </row>
    <row r="200" spans="1:20" x14ac:dyDescent="0.25">
      <c r="A200" t="s">
        <v>281</v>
      </c>
      <c r="B200" s="1">
        <v>45490</v>
      </c>
      <c r="C200" s="1">
        <v>45504</v>
      </c>
      <c r="D200" t="s">
        <v>56</v>
      </c>
      <c r="E200" t="s">
        <v>57</v>
      </c>
      <c r="F200" t="s">
        <v>71</v>
      </c>
      <c r="G200" t="s">
        <v>58</v>
      </c>
      <c r="H200" t="s">
        <v>25</v>
      </c>
      <c r="I200">
        <v>1855</v>
      </c>
      <c r="J200">
        <v>17</v>
      </c>
      <c r="K200">
        <v>31535</v>
      </c>
      <c r="L200" t="s">
        <v>65</v>
      </c>
      <c r="M200" t="s">
        <v>36</v>
      </c>
      <c r="N200">
        <v>46</v>
      </c>
      <c r="O200" t="s">
        <v>59</v>
      </c>
      <c r="P200" t="s">
        <v>29</v>
      </c>
      <c r="Q200" t="s">
        <v>68</v>
      </c>
      <c r="R200" t="s">
        <v>83</v>
      </c>
      <c r="S200">
        <v>28.7041</v>
      </c>
      <c r="T200">
        <v>77.102500000000006</v>
      </c>
    </row>
    <row r="201" spans="1:20" x14ac:dyDescent="0.25">
      <c r="A201" t="s">
        <v>282</v>
      </c>
      <c r="B201" s="1">
        <v>45491</v>
      </c>
      <c r="C201" s="1">
        <v>45504</v>
      </c>
      <c r="D201" t="s">
        <v>49</v>
      </c>
      <c r="E201" t="s">
        <v>50</v>
      </c>
      <c r="F201" t="s">
        <v>71</v>
      </c>
      <c r="G201" t="s">
        <v>43</v>
      </c>
      <c r="H201" t="s">
        <v>25</v>
      </c>
      <c r="I201">
        <v>319</v>
      </c>
      <c r="J201">
        <v>34</v>
      </c>
      <c r="K201">
        <v>10846</v>
      </c>
      <c r="L201" t="s">
        <v>35</v>
      </c>
      <c r="M201" t="s">
        <v>44</v>
      </c>
      <c r="N201">
        <v>34</v>
      </c>
      <c r="O201" t="s">
        <v>28</v>
      </c>
      <c r="P201" t="s">
        <v>38</v>
      </c>
      <c r="Q201" t="s">
        <v>68</v>
      </c>
      <c r="R201" t="s">
        <v>91</v>
      </c>
      <c r="S201">
        <v>26.912400000000002</v>
      </c>
      <c r="T201">
        <v>75.787300000000002</v>
      </c>
    </row>
    <row r="202" spans="1:20" x14ac:dyDescent="0.25">
      <c r="A202" t="s">
        <v>158</v>
      </c>
      <c r="B202" s="1">
        <v>45492</v>
      </c>
      <c r="C202" s="1">
        <v>45504</v>
      </c>
      <c r="D202" t="s">
        <v>159</v>
      </c>
      <c r="E202" t="s">
        <v>103</v>
      </c>
      <c r="F202" t="s">
        <v>23</v>
      </c>
      <c r="G202" t="s">
        <v>43</v>
      </c>
      <c r="H202" t="s">
        <v>104</v>
      </c>
      <c r="I202">
        <v>456</v>
      </c>
      <c r="J202">
        <v>9</v>
      </c>
      <c r="K202">
        <v>4104</v>
      </c>
      <c r="L202" t="s">
        <v>26</v>
      </c>
      <c r="M202" t="s">
        <v>44</v>
      </c>
      <c r="N202">
        <v>21</v>
      </c>
      <c r="O202" t="s">
        <v>87</v>
      </c>
      <c r="P202" t="s">
        <v>45</v>
      </c>
      <c r="Q202" t="s">
        <v>53</v>
      </c>
      <c r="R202" t="s">
        <v>100</v>
      </c>
      <c r="S202">
        <v>39.933399999999999</v>
      </c>
      <c r="T202">
        <v>32.859699999999997</v>
      </c>
    </row>
    <row r="203" spans="1:20" x14ac:dyDescent="0.25">
      <c r="A203" t="s">
        <v>210</v>
      </c>
      <c r="B203" s="1">
        <v>45493</v>
      </c>
      <c r="C203" s="1">
        <v>45504</v>
      </c>
      <c r="D203" t="s">
        <v>49</v>
      </c>
      <c r="E203" t="s">
        <v>50</v>
      </c>
      <c r="F203" t="s">
        <v>23</v>
      </c>
      <c r="G203" t="s">
        <v>58</v>
      </c>
      <c r="H203" t="s">
        <v>25</v>
      </c>
      <c r="I203">
        <v>335</v>
      </c>
      <c r="J203">
        <v>58</v>
      </c>
      <c r="K203">
        <v>19430</v>
      </c>
      <c r="L203" t="s">
        <v>65</v>
      </c>
      <c r="M203" t="s">
        <v>27</v>
      </c>
      <c r="N203">
        <v>39</v>
      </c>
      <c r="O203" t="s">
        <v>28</v>
      </c>
      <c r="P203" t="s">
        <v>45</v>
      </c>
      <c r="Q203" t="s">
        <v>68</v>
      </c>
      <c r="R203" t="s">
        <v>195</v>
      </c>
      <c r="S203">
        <v>19.076000000000001</v>
      </c>
      <c r="T203">
        <v>72.877700000000004</v>
      </c>
    </row>
    <row r="204" spans="1:20" x14ac:dyDescent="0.25">
      <c r="A204" t="s">
        <v>275</v>
      </c>
      <c r="B204" s="1">
        <v>45494</v>
      </c>
      <c r="C204" s="1">
        <v>45504</v>
      </c>
      <c r="D204" t="s">
        <v>56</v>
      </c>
      <c r="E204" t="s">
        <v>57</v>
      </c>
      <c r="F204" t="s">
        <v>23</v>
      </c>
      <c r="G204" t="s">
        <v>58</v>
      </c>
      <c r="H204" t="s">
        <v>25</v>
      </c>
      <c r="I204">
        <v>1845</v>
      </c>
      <c r="J204">
        <v>25</v>
      </c>
      <c r="K204">
        <v>46125</v>
      </c>
      <c r="L204" t="s">
        <v>35</v>
      </c>
      <c r="M204" t="s">
        <v>51</v>
      </c>
      <c r="N204">
        <v>55</v>
      </c>
      <c r="O204" t="s">
        <v>37</v>
      </c>
      <c r="P204" t="s">
        <v>29</v>
      </c>
      <c r="Q204" t="s">
        <v>68</v>
      </c>
      <c r="R204" t="s">
        <v>132</v>
      </c>
      <c r="S204">
        <v>13.082700000000001</v>
      </c>
      <c r="T204">
        <v>80.270700000000005</v>
      </c>
    </row>
    <row r="205" spans="1:20" x14ac:dyDescent="0.25">
      <c r="A205" t="s">
        <v>283</v>
      </c>
      <c r="B205" s="1">
        <v>45495</v>
      </c>
      <c r="C205" s="1">
        <v>45504</v>
      </c>
      <c r="D205" t="s">
        <v>85</v>
      </c>
      <c r="E205" t="s">
        <v>22</v>
      </c>
      <c r="F205" t="s">
        <v>71</v>
      </c>
      <c r="G205" t="s">
        <v>72</v>
      </c>
      <c r="H205" t="s">
        <v>25</v>
      </c>
      <c r="I205">
        <v>1099</v>
      </c>
      <c r="J205">
        <v>66</v>
      </c>
      <c r="K205">
        <v>72534</v>
      </c>
      <c r="L205" t="s">
        <v>26</v>
      </c>
      <c r="M205" t="s">
        <v>51</v>
      </c>
      <c r="N205">
        <v>27</v>
      </c>
      <c r="O205" t="s">
        <v>52</v>
      </c>
      <c r="P205" t="s">
        <v>29</v>
      </c>
      <c r="Q205" t="s">
        <v>68</v>
      </c>
      <c r="R205" t="s">
        <v>132</v>
      </c>
      <c r="S205">
        <v>13.082700000000001</v>
      </c>
      <c r="T205">
        <v>80.270700000000005</v>
      </c>
    </row>
    <row r="206" spans="1:20" x14ac:dyDescent="0.25">
      <c r="A206" t="s">
        <v>284</v>
      </c>
      <c r="B206" s="1">
        <v>45496</v>
      </c>
      <c r="C206" s="1">
        <v>45504</v>
      </c>
      <c r="D206" t="s">
        <v>56</v>
      </c>
      <c r="E206" t="s">
        <v>57</v>
      </c>
      <c r="F206" t="s">
        <v>23</v>
      </c>
      <c r="G206" t="s">
        <v>58</v>
      </c>
      <c r="H206" t="s">
        <v>25</v>
      </c>
      <c r="I206">
        <v>1863</v>
      </c>
      <c r="J206">
        <v>34</v>
      </c>
      <c r="K206">
        <v>63342</v>
      </c>
      <c r="L206" t="s">
        <v>35</v>
      </c>
      <c r="M206" t="s">
        <v>36</v>
      </c>
      <c r="N206">
        <v>48</v>
      </c>
      <c r="O206" t="s">
        <v>59</v>
      </c>
      <c r="P206" t="s">
        <v>29</v>
      </c>
      <c r="Q206" t="s">
        <v>68</v>
      </c>
      <c r="R206" t="s">
        <v>83</v>
      </c>
      <c r="S206">
        <v>28.7041</v>
      </c>
      <c r="T206">
        <v>77.102500000000006</v>
      </c>
    </row>
    <row r="207" spans="1:20" x14ac:dyDescent="0.25">
      <c r="A207" t="s">
        <v>123</v>
      </c>
      <c r="B207" s="1">
        <v>45497</v>
      </c>
      <c r="C207" s="1">
        <v>45504</v>
      </c>
      <c r="D207" t="s">
        <v>96</v>
      </c>
      <c r="E207" t="s">
        <v>42</v>
      </c>
      <c r="F207" t="s">
        <v>23</v>
      </c>
      <c r="G207" t="s">
        <v>24</v>
      </c>
      <c r="H207" t="s">
        <v>25</v>
      </c>
      <c r="I207">
        <v>854</v>
      </c>
      <c r="J207">
        <v>37</v>
      </c>
      <c r="K207">
        <v>31598</v>
      </c>
      <c r="L207" t="s">
        <v>26</v>
      </c>
      <c r="M207" t="s">
        <v>51</v>
      </c>
      <c r="N207">
        <v>44</v>
      </c>
      <c r="O207" t="s">
        <v>59</v>
      </c>
      <c r="P207" t="s">
        <v>29</v>
      </c>
      <c r="Q207" t="s">
        <v>53</v>
      </c>
      <c r="R207" t="s">
        <v>94</v>
      </c>
      <c r="S207">
        <v>38.419199999999996</v>
      </c>
      <c r="T207">
        <v>27.128699999999998</v>
      </c>
    </row>
    <row r="208" spans="1:20" x14ac:dyDescent="0.25">
      <c r="A208" t="s">
        <v>285</v>
      </c>
      <c r="B208" s="1">
        <v>45498</v>
      </c>
      <c r="C208" s="1">
        <v>45504</v>
      </c>
      <c r="D208" t="s">
        <v>96</v>
      </c>
      <c r="E208" t="s">
        <v>42</v>
      </c>
      <c r="F208" t="s">
        <v>71</v>
      </c>
      <c r="G208" t="s">
        <v>58</v>
      </c>
      <c r="H208" t="s">
        <v>25</v>
      </c>
      <c r="I208">
        <v>823</v>
      </c>
      <c r="J208">
        <v>92</v>
      </c>
      <c r="K208">
        <v>75716</v>
      </c>
      <c r="L208" t="s">
        <v>65</v>
      </c>
      <c r="M208" t="s">
        <v>44</v>
      </c>
      <c r="N208">
        <v>18</v>
      </c>
      <c r="O208" t="s">
        <v>87</v>
      </c>
      <c r="P208" t="s">
        <v>29</v>
      </c>
      <c r="Q208" t="s">
        <v>53</v>
      </c>
      <c r="R208" t="s">
        <v>73</v>
      </c>
      <c r="S208">
        <v>41.008200000000002</v>
      </c>
      <c r="T208">
        <v>28.978400000000001</v>
      </c>
    </row>
    <row r="209" spans="1:20" x14ac:dyDescent="0.25">
      <c r="A209" t="s">
        <v>286</v>
      </c>
      <c r="B209" s="1">
        <v>45499</v>
      </c>
      <c r="C209" s="1">
        <v>45504</v>
      </c>
      <c r="D209" t="s">
        <v>126</v>
      </c>
      <c r="E209" t="s">
        <v>103</v>
      </c>
      <c r="F209" t="s">
        <v>71</v>
      </c>
      <c r="G209" t="s">
        <v>34</v>
      </c>
      <c r="H209" t="s">
        <v>104</v>
      </c>
      <c r="I209">
        <v>886</v>
      </c>
      <c r="J209">
        <v>73</v>
      </c>
      <c r="K209">
        <v>64678</v>
      </c>
      <c r="L209" t="s">
        <v>26</v>
      </c>
      <c r="M209" t="s">
        <v>36</v>
      </c>
      <c r="N209">
        <v>43</v>
      </c>
      <c r="O209" t="s">
        <v>59</v>
      </c>
      <c r="P209" t="s">
        <v>45</v>
      </c>
      <c r="Q209" t="s">
        <v>68</v>
      </c>
      <c r="R209" t="s">
        <v>127</v>
      </c>
      <c r="S209">
        <v>26.846699999999998</v>
      </c>
      <c r="T209">
        <v>80.946200000000005</v>
      </c>
    </row>
    <row r="210" spans="1:20" x14ac:dyDescent="0.25">
      <c r="A210" t="s">
        <v>287</v>
      </c>
      <c r="B210" s="1">
        <v>45500</v>
      </c>
      <c r="C210" s="1">
        <v>45504</v>
      </c>
      <c r="D210" t="s">
        <v>80</v>
      </c>
      <c r="E210" t="s">
        <v>42</v>
      </c>
      <c r="F210" t="s">
        <v>71</v>
      </c>
      <c r="G210" t="s">
        <v>34</v>
      </c>
      <c r="H210" t="s">
        <v>25</v>
      </c>
      <c r="I210">
        <v>564</v>
      </c>
      <c r="J210">
        <v>36</v>
      </c>
      <c r="K210">
        <v>20304</v>
      </c>
      <c r="L210" t="s">
        <v>35</v>
      </c>
      <c r="M210" t="s">
        <v>44</v>
      </c>
      <c r="N210">
        <v>20</v>
      </c>
      <c r="O210" t="s">
        <v>87</v>
      </c>
      <c r="P210" t="s">
        <v>45</v>
      </c>
      <c r="Q210" t="s">
        <v>68</v>
      </c>
      <c r="R210" t="s">
        <v>127</v>
      </c>
      <c r="S210">
        <v>26.846699999999998</v>
      </c>
      <c r="T210">
        <v>80.946200000000005</v>
      </c>
    </row>
    <row r="211" spans="1:20" x14ac:dyDescent="0.25">
      <c r="A211" t="s">
        <v>288</v>
      </c>
      <c r="B211" s="1">
        <v>45501</v>
      </c>
      <c r="C211" s="1">
        <v>45504</v>
      </c>
      <c r="D211" t="s">
        <v>85</v>
      </c>
      <c r="E211" t="s">
        <v>22</v>
      </c>
      <c r="F211" t="s">
        <v>23</v>
      </c>
      <c r="G211" t="s">
        <v>72</v>
      </c>
      <c r="H211" t="s">
        <v>25</v>
      </c>
      <c r="I211">
        <v>1067</v>
      </c>
      <c r="J211">
        <v>13</v>
      </c>
      <c r="K211">
        <v>13871</v>
      </c>
      <c r="L211" t="s">
        <v>65</v>
      </c>
      <c r="M211" t="s">
        <v>44</v>
      </c>
      <c r="N211">
        <v>19</v>
      </c>
      <c r="O211" t="s">
        <v>87</v>
      </c>
      <c r="P211" t="s">
        <v>29</v>
      </c>
      <c r="Q211" t="s">
        <v>46</v>
      </c>
      <c r="R211" t="s">
        <v>47</v>
      </c>
      <c r="S211">
        <v>22.3569</v>
      </c>
      <c r="T211">
        <v>91.783199999999994</v>
      </c>
    </row>
    <row r="212" spans="1:20" x14ac:dyDescent="0.25">
      <c r="A212" t="s">
        <v>137</v>
      </c>
      <c r="B212" s="1">
        <v>45502</v>
      </c>
      <c r="C212" s="1">
        <v>45504</v>
      </c>
      <c r="D212" t="s">
        <v>120</v>
      </c>
      <c r="E212" t="s">
        <v>57</v>
      </c>
      <c r="F212" t="s">
        <v>33</v>
      </c>
      <c r="G212" t="s">
        <v>72</v>
      </c>
      <c r="H212" t="s">
        <v>25</v>
      </c>
      <c r="I212">
        <v>321</v>
      </c>
      <c r="J212">
        <v>55</v>
      </c>
      <c r="K212">
        <v>17655</v>
      </c>
      <c r="L212" t="s">
        <v>26</v>
      </c>
      <c r="M212" t="s">
        <v>51</v>
      </c>
      <c r="N212">
        <v>33</v>
      </c>
      <c r="O212" t="s">
        <v>52</v>
      </c>
      <c r="P212" t="s">
        <v>45</v>
      </c>
      <c r="Q212" t="s">
        <v>68</v>
      </c>
      <c r="R212" t="s">
        <v>91</v>
      </c>
      <c r="S212">
        <v>26.912400000000002</v>
      </c>
      <c r="T212">
        <v>75.787300000000002</v>
      </c>
    </row>
    <row r="213" spans="1:20" x14ac:dyDescent="0.25">
      <c r="A213" t="s">
        <v>289</v>
      </c>
      <c r="B213" s="1">
        <v>45503</v>
      </c>
      <c r="C213" s="1">
        <v>45504</v>
      </c>
      <c r="D213" t="s">
        <v>131</v>
      </c>
      <c r="E213" t="s">
        <v>103</v>
      </c>
      <c r="F213" t="s">
        <v>33</v>
      </c>
      <c r="G213" t="s">
        <v>34</v>
      </c>
      <c r="H213" t="s">
        <v>104</v>
      </c>
      <c r="I213">
        <v>816</v>
      </c>
      <c r="J213">
        <v>95</v>
      </c>
      <c r="K213">
        <v>77520</v>
      </c>
      <c r="L213" t="s">
        <v>26</v>
      </c>
      <c r="M213" t="s">
        <v>44</v>
      </c>
      <c r="N213">
        <v>21</v>
      </c>
      <c r="O213" t="s">
        <v>87</v>
      </c>
      <c r="P213" t="s">
        <v>45</v>
      </c>
      <c r="Q213" t="s">
        <v>68</v>
      </c>
      <c r="R213" t="s">
        <v>83</v>
      </c>
      <c r="S213">
        <v>28.7041</v>
      </c>
      <c r="T213">
        <v>77.102500000000006</v>
      </c>
    </row>
    <row r="214" spans="1:20" x14ac:dyDescent="0.25">
      <c r="A214" t="s">
        <v>290</v>
      </c>
      <c r="B214" s="1">
        <v>45504</v>
      </c>
      <c r="C214" s="1">
        <v>45504</v>
      </c>
      <c r="D214" t="s">
        <v>21</v>
      </c>
      <c r="E214" t="s">
        <v>22</v>
      </c>
      <c r="F214" t="s">
        <v>71</v>
      </c>
      <c r="G214" t="s">
        <v>43</v>
      </c>
      <c r="H214" t="s">
        <v>25</v>
      </c>
      <c r="I214">
        <v>543</v>
      </c>
      <c r="J214">
        <v>32</v>
      </c>
      <c r="K214">
        <v>17376</v>
      </c>
      <c r="L214" t="s">
        <v>26</v>
      </c>
      <c r="M214" t="s">
        <v>51</v>
      </c>
      <c r="N214">
        <v>37</v>
      </c>
      <c r="O214" t="s">
        <v>28</v>
      </c>
      <c r="P214" t="s">
        <v>45</v>
      </c>
      <c r="Q214" t="s">
        <v>68</v>
      </c>
      <c r="R214" t="s">
        <v>121</v>
      </c>
      <c r="S214">
        <v>12.9716</v>
      </c>
      <c r="T214">
        <v>77.5946</v>
      </c>
    </row>
    <row r="215" spans="1:20" x14ac:dyDescent="0.25">
      <c r="A215" t="s">
        <v>205</v>
      </c>
      <c r="B215" s="1">
        <v>45505</v>
      </c>
      <c r="C215" s="1">
        <v>45535</v>
      </c>
      <c r="D215" t="s">
        <v>131</v>
      </c>
      <c r="E215" t="s">
        <v>103</v>
      </c>
      <c r="F215" t="s">
        <v>71</v>
      </c>
      <c r="G215" t="s">
        <v>24</v>
      </c>
      <c r="H215" t="s">
        <v>104</v>
      </c>
      <c r="I215">
        <v>836</v>
      </c>
      <c r="J215">
        <v>66</v>
      </c>
      <c r="K215">
        <v>55176</v>
      </c>
      <c r="L215" t="s">
        <v>26</v>
      </c>
      <c r="M215" t="s">
        <v>51</v>
      </c>
      <c r="N215">
        <v>49</v>
      </c>
      <c r="O215" t="s">
        <v>59</v>
      </c>
      <c r="P215" t="s">
        <v>29</v>
      </c>
      <c r="Q215" t="s">
        <v>68</v>
      </c>
      <c r="R215" t="s">
        <v>127</v>
      </c>
      <c r="S215">
        <v>26.846699999999998</v>
      </c>
      <c r="T215">
        <v>80.946200000000005</v>
      </c>
    </row>
    <row r="216" spans="1:20" x14ac:dyDescent="0.25">
      <c r="A216" t="s">
        <v>165</v>
      </c>
      <c r="B216" s="1">
        <v>45506</v>
      </c>
      <c r="C216" s="1">
        <v>45535</v>
      </c>
      <c r="D216" t="s">
        <v>75</v>
      </c>
      <c r="E216" t="s">
        <v>50</v>
      </c>
      <c r="F216" t="s">
        <v>33</v>
      </c>
      <c r="G216" t="s">
        <v>24</v>
      </c>
      <c r="H216" t="s">
        <v>25</v>
      </c>
      <c r="I216">
        <v>351</v>
      </c>
      <c r="J216">
        <v>19</v>
      </c>
      <c r="K216">
        <v>6669</v>
      </c>
      <c r="L216" t="s">
        <v>35</v>
      </c>
      <c r="M216" t="s">
        <v>36</v>
      </c>
      <c r="N216">
        <v>41</v>
      </c>
      <c r="O216" t="s">
        <v>28</v>
      </c>
      <c r="P216" t="s">
        <v>45</v>
      </c>
      <c r="Q216" t="s">
        <v>68</v>
      </c>
      <c r="R216" t="s">
        <v>91</v>
      </c>
      <c r="S216">
        <v>26.912400000000002</v>
      </c>
      <c r="T216">
        <v>75.787300000000002</v>
      </c>
    </row>
    <row r="217" spans="1:20" x14ac:dyDescent="0.25">
      <c r="A217" t="s">
        <v>291</v>
      </c>
      <c r="B217" s="1">
        <v>45507</v>
      </c>
      <c r="C217" s="1">
        <v>45535</v>
      </c>
      <c r="D217" t="s">
        <v>78</v>
      </c>
      <c r="E217" t="s">
        <v>22</v>
      </c>
      <c r="F217" t="s">
        <v>23</v>
      </c>
      <c r="G217" t="s">
        <v>58</v>
      </c>
      <c r="H217" t="s">
        <v>25</v>
      </c>
      <c r="I217">
        <v>750</v>
      </c>
      <c r="J217">
        <v>8</v>
      </c>
      <c r="K217">
        <v>6000</v>
      </c>
      <c r="L217" t="s">
        <v>26</v>
      </c>
      <c r="M217" t="s">
        <v>27</v>
      </c>
      <c r="N217">
        <v>20</v>
      </c>
      <c r="O217" t="s">
        <v>87</v>
      </c>
      <c r="P217" t="s">
        <v>45</v>
      </c>
      <c r="Q217" t="s">
        <v>68</v>
      </c>
      <c r="R217" t="s">
        <v>170</v>
      </c>
      <c r="S217">
        <v>23.022500000000001</v>
      </c>
      <c r="T217">
        <v>72.571399999999997</v>
      </c>
    </row>
    <row r="218" spans="1:20" x14ac:dyDescent="0.25">
      <c r="A218" t="s">
        <v>292</v>
      </c>
      <c r="B218" s="1">
        <v>45508</v>
      </c>
      <c r="C218" s="1">
        <v>45535</v>
      </c>
      <c r="D218" t="s">
        <v>82</v>
      </c>
      <c r="E218" t="s">
        <v>50</v>
      </c>
      <c r="F218" t="s">
        <v>71</v>
      </c>
      <c r="G218" t="s">
        <v>58</v>
      </c>
      <c r="H218" t="s">
        <v>25</v>
      </c>
      <c r="I218">
        <v>521</v>
      </c>
      <c r="J218">
        <v>88</v>
      </c>
      <c r="K218">
        <v>45848</v>
      </c>
      <c r="L218" t="s">
        <v>26</v>
      </c>
      <c r="M218" t="s">
        <v>44</v>
      </c>
      <c r="N218">
        <v>54</v>
      </c>
      <c r="O218" t="s">
        <v>37</v>
      </c>
      <c r="P218" t="s">
        <v>29</v>
      </c>
      <c r="Q218" t="s">
        <v>53</v>
      </c>
      <c r="R218" t="s">
        <v>62</v>
      </c>
      <c r="S218">
        <v>36.896900000000002</v>
      </c>
      <c r="T218">
        <v>30.7133</v>
      </c>
    </row>
    <row r="219" spans="1:20" x14ac:dyDescent="0.25">
      <c r="A219" t="s">
        <v>293</v>
      </c>
      <c r="B219" s="1">
        <v>45509</v>
      </c>
      <c r="C219" s="1">
        <v>45535</v>
      </c>
      <c r="D219" t="s">
        <v>82</v>
      </c>
      <c r="E219" t="s">
        <v>50</v>
      </c>
      <c r="F219" t="s">
        <v>33</v>
      </c>
      <c r="G219" t="s">
        <v>24</v>
      </c>
      <c r="H219" t="s">
        <v>25</v>
      </c>
      <c r="I219">
        <v>531</v>
      </c>
      <c r="J219">
        <v>52</v>
      </c>
      <c r="K219">
        <v>27612</v>
      </c>
      <c r="L219" t="s">
        <v>65</v>
      </c>
      <c r="M219" t="s">
        <v>36</v>
      </c>
      <c r="N219">
        <v>60</v>
      </c>
      <c r="O219" t="s">
        <v>66</v>
      </c>
      <c r="P219" t="s">
        <v>38</v>
      </c>
      <c r="Q219" t="s">
        <v>53</v>
      </c>
      <c r="R219" t="s">
        <v>100</v>
      </c>
      <c r="S219">
        <v>39.933399999999999</v>
      </c>
      <c r="T219">
        <v>32.859699999999997</v>
      </c>
    </row>
    <row r="220" spans="1:20" x14ac:dyDescent="0.25">
      <c r="A220" t="s">
        <v>112</v>
      </c>
      <c r="B220" s="1">
        <v>45510</v>
      </c>
      <c r="C220" s="1">
        <v>45535</v>
      </c>
      <c r="D220" t="s">
        <v>41</v>
      </c>
      <c r="E220" t="s">
        <v>42</v>
      </c>
      <c r="F220" t="s">
        <v>33</v>
      </c>
      <c r="G220" t="s">
        <v>58</v>
      </c>
      <c r="H220" t="s">
        <v>25</v>
      </c>
      <c r="I220">
        <v>699</v>
      </c>
      <c r="J220">
        <v>39</v>
      </c>
      <c r="K220">
        <v>27261</v>
      </c>
      <c r="L220" t="s">
        <v>26</v>
      </c>
      <c r="M220" t="s">
        <v>36</v>
      </c>
      <c r="N220">
        <v>29</v>
      </c>
      <c r="O220" t="s">
        <v>52</v>
      </c>
      <c r="P220" t="s">
        <v>45</v>
      </c>
      <c r="Q220" t="s">
        <v>53</v>
      </c>
      <c r="R220" t="s">
        <v>62</v>
      </c>
      <c r="S220">
        <v>36.896900000000002</v>
      </c>
      <c r="T220">
        <v>30.7133</v>
      </c>
    </row>
    <row r="221" spans="1:20" x14ac:dyDescent="0.25">
      <c r="A221" t="s">
        <v>294</v>
      </c>
      <c r="B221" s="1">
        <v>45511</v>
      </c>
      <c r="C221" s="1">
        <v>45535</v>
      </c>
      <c r="D221" t="s">
        <v>21</v>
      </c>
      <c r="E221" t="s">
        <v>22</v>
      </c>
      <c r="F221" t="s">
        <v>71</v>
      </c>
      <c r="G221" t="s">
        <v>34</v>
      </c>
      <c r="H221" t="s">
        <v>25</v>
      </c>
      <c r="I221">
        <v>512</v>
      </c>
      <c r="J221">
        <v>34</v>
      </c>
      <c r="K221">
        <v>17408</v>
      </c>
      <c r="L221" t="s">
        <v>26</v>
      </c>
      <c r="M221" t="s">
        <v>36</v>
      </c>
      <c r="N221">
        <v>29</v>
      </c>
      <c r="O221" t="s">
        <v>52</v>
      </c>
      <c r="P221" t="s">
        <v>38</v>
      </c>
      <c r="Q221" t="s">
        <v>68</v>
      </c>
      <c r="R221" t="s">
        <v>121</v>
      </c>
      <c r="S221">
        <v>12.9716</v>
      </c>
      <c r="T221">
        <v>77.5946</v>
      </c>
    </row>
    <row r="222" spans="1:20" x14ac:dyDescent="0.25">
      <c r="A222" t="s">
        <v>295</v>
      </c>
      <c r="B222" s="1">
        <v>45512</v>
      </c>
      <c r="C222" s="1">
        <v>45535</v>
      </c>
      <c r="D222" t="s">
        <v>146</v>
      </c>
      <c r="E222" t="s">
        <v>57</v>
      </c>
      <c r="F222" t="s">
        <v>23</v>
      </c>
      <c r="G222" t="s">
        <v>43</v>
      </c>
      <c r="H222" t="s">
        <v>25</v>
      </c>
      <c r="I222">
        <v>413</v>
      </c>
      <c r="J222">
        <v>25</v>
      </c>
      <c r="K222">
        <v>10325</v>
      </c>
      <c r="L222" t="s">
        <v>26</v>
      </c>
      <c r="M222" t="s">
        <v>27</v>
      </c>
      <c r="N222">
        <v>42</v>
      </c>
      <c r="O222" t="s">
        <v>59</v>
      </c>
      <c r="P222" t="s">
        <v>45</v>
      </c>
      <c r="Q222" t="s">
        <v>68</v>
      </c>
      <c r="R222" t="s">
        <v>121</v>
      </c>
      <c r="S222">
        <v>12.9716</v>
      </c>
      <c r="T222">
        <v>77.5946</v>
      </c>
    </row>
    <row r="223" spans="1:20" x14ac:dyDescent="0.25">
      <c r="A223" t="s">
        <v>296</v>
      </c>
      <c r="B223" s="1">
        <v>45513</v>
      </c>
      <c r="C223" s="1">
        <v>45535</v>
      </c>
      <c r="D223" t="s">
        <v>96</v>
      </c>
      <c r="E223" t="s">
        <v>42</v>
      </c>
      <c r="F223" t="s">
        <v>33</v>
      </c>
      <c r="G223" t="s">
        <v>24</v>
      </c>
      <c r="H223" t="s">
        <v>25</v>
      </c>
      <c r="I223">
        <v>843</v>
      </c>
      <c r="J223">
        <v>97</v>
      </c>
      <c r="K223">
        <v>81771</v>
      </c>
      <c r="L223" t="s">
        <v>26</v>
      </c>
      <c r="M223" t="s">
        <v>51</v>
      </c>
      <c r="N223">
        <v>34</v>
      </c>
      <c r="O223" t="s">
        <v>28</v>
      </c>
      <c r="P223" t="s">
        <v>45</v>
      </c>
      <c r="Q223" t="s">
        <v>53</v>
      </c>
      <c r="R223" t="s">
        <v>62</v>
      </c>
      <c r="S223">
        <v>36.896900000000002</v>
      </c>
      <c r="T223">
        <v>30.7133</v>
      </c>
    </row>
    <row r="224" spans="1:20" x14ac:dyDescent="0.25">
      <c r="A224" t="s">
        <v>297</v>
      </c>
      <c r="B224" s="1">
        <v>45514</v>
      </c>
      <c r="C224" s="1">
        <v>45535</v>
      </c>
      <c r="D224" t="s">
        <v>96</v>
      </c>
      <c r="E224" t="s">
        <v>42</v>
      </c>
      <c r="F224" t="s">
        <v>71</v>
      </c>
      <c r="G224" t="s">
        <v>43</v>
      </c>
      <c r="H224" t="s">
        <v>25</v>
      </c>
      <c r="I224">
        <v>803</v>
      </c>
      <c r="J224">
        <v>97</v>
      </c>
      <c r="K224">
        <v>77891</v>
      </c>
      <c r="L224" t="s">
        <v>26</v>
      </c>
      <c r="M224" t="s">
        <v>36</v>
      </c>
      <c r="N224">
        <v>21</v>
      </c>
      <c r="O224" t="s">
        <v>87</v>
      </c>
      <c r="P224" t="s">
        <v>29</v>
      </c>
      <c r="Q224" t="s">
        <v>68</v>
      </c>
      <c r="R224" t="s">
        <v>132</v>
      </c>
      <c r="S224">
        <v>13.082700000000001</v>
      </c>
      <c r="T224">
        <v>80.270700000000005</v>
      </c>
    </row>
    <row r="225" spans="1:20" x14ac:dyDescent="0.25">
      <c r="A225" t="s">
        <v>298</v>
      </c>
      <c r="B225" s="1">
        <v>45515</v>
      </c>
      <c r="C225" s="1">
        <v>45535</v>
      </c>
      <c r="D225" t="s">
        <v>78</v>
      </c>
      <c r="E225" t="s">
        <v>22</v>
      </c>
      <c r="F225" t="s">
        <v>23</v>
      </c>
      <c r="G225" t="s">
        <v>58</v>
      </c>
      <c r="H225" t="s">
        <v>25</v>
      </c>
      <c r="I225">
        <v>792</v>
      </c>
      <c r="J225">
        <v>20</v>
      </c>
      <c r="K225">
        <v>15840</v>
      </c>
      <c r="L225" t="s">
        <v>26</v>
      </c>
      <c r="M225" t="s">
        <v>51</v>
      </c>
      <c r="N225">
        <v>41</v>
      </c>
      <c r="O225" t="s">
        <v>28</v>
      </c>
      <c r="P225" t="s">
        <v>45</v>
      </c>
      <c r="Q225" t="s">
        <v>53</v>
      </c>
      <c r="R225" t="s">
        <v>73</v>
      </c>
      <c r="S225">
        <v>41.008200000000002</v>
      </c>
      <c r="T225">
        <v>28.978400000000001</v>
      </c>
    </row>
    <row r="226" spans="1:20" x14ac:dyDescent="0.25">
      <c r="A226" t="s">
        <v>299</v>
      </c>
      <c r="B226" s="1">
        <v>45516</v>
      </c>
      <c r="C226" s="1">
        <v>45535</v>
      </c>
      <c r="D226" t="s">
        <v>21</v>
      </c>
      <c r="E226" t="s">
        <v>22</v>
      </c>
      <c r="F226" t="s">
        <v>33</v>
      </c>
      <c r="G226" t="s">
        <v>58</v>
      </c>
      <c r="H226" t="s">
        <v>25</v>
      </c>
      <c r="I226">
        <v>516</v>
      </c>
      <c r="J226">
        <v>20</v>
      </c>
      <c r="K226">
        <v>10320</v>
      </c>
      <c r="L226" t="s">
        <v>26</v>
      </c>
      <c r="M226" t="s">
        <v>51</v>
      </c>
      <c r="N226">
        <v>42</v>
      </c>
      <c r="O226" t="s">
        <v>59</v>
      </c>
      <c r="P226" t="s">
        <v>45</v>
      </c>
      <c r="Q226" t="s">
        <v>53</v>
      </c>
      <c r="R226" t="s">
        <v>94</v>
      </c>
      <c r="S226">
        <v>38.419199999999996</v>
      </c>
      <c r="T226">
        <v>27.128699999999998</v>
      </c>
    </row>
    <row r="227" spans="1:20" x14ac:dyDescent="0.25">
      <c r="A227" t="s">
        <v>300</v>
      </c>
      <c r="B227" s="1">
        <v>45517</v>
      </c>
      <c r="C227" s="1">
        <v>45535</v>
      </c>
      <c r="D227" t="s">
        <v>82</v>
      </c>
      <c r="E227" t="s">
        <v>50</v>
      </c>
      <c r="F227" t="s">
        <v>23</v>
      </c>
      <c r="G227" t="s">
        <v>24</v>
      </c>
      <c r="H227" t="s">
        <v>25</v>
      </c>
      <c r="I227">
        <v>535</v>
      </c>
      <c r="J227">
        <v>76</v>
      </c>
      <c r="K227">
        <v>40660</v>
      </c>
      <c r="L227" t="s">
        <v>26</v>
      </c>
      <c r="M227" t="s">
        <v>27</v>
      </c>
      <c r="N227">
        <v>41</v>
      </c>
      <c r="O227" t="s">
        <v>28</v>
      </c>
      <c r="P227" t="s">
        <v>29</v>
      </c>
      <c r="Q227" t="s">
        <v>68</v>
      </c>
      <c r="R227" t="s">
        <v>127</v>
      </c>
      <c r="S227">
        <v>26.846699999999998</v>
      </c>
      <c r="T227">
        <v>80.946200000000005</v>
      </c>
    </row>
    <row r="228" spans="1:20" x14ac:dyDescent="0.25">
      <c r="A228" t="s">
        <v>301</v>
      </c>
      <c r="B228" s="1">
        <v>45518</v>
      </c>
      <c r="C228" s="1">
        <v>45535</v>
      </c>
      <c r="D228" t="s">
        <v>78</v>
      </c>
      <c r="E228" t="s">
        <v>22</v>
      </c>
      <c r="F228" t="s">
        <v>33</v>
      </c>
      <c r="G228" t="s">
        <v>24</v>
      </c>
      <c r="H228" t="s">
        <v>25</v>
      </c>
      <c r="I228">
        <v>726</v>
      </c>
      <c r="J228">
        <v>16</v>
      </c>
      <c r="K228">
        <v>11616</v>
      </c>
      <c r="L228" t="s">
        <v>26</v>
      </c>
      <c r="M228" t="s">
        <v>44</v>
      </c>
      <c r="N228">
        <v>48</v>
      </c>
      <c r="O228" t="s">
        <v>59</v>
      </c>
      <c r="P228" t="s">
        <v>29</v>
      </c>
      <c r="Q228" t="s">
        <v>53</v>
      </c>
      <c r="R228" t="s">
        <v>54</v>
      </c>
      <c r="S228">
        <v>40.1828</v>
      </c>
      <c r="T228">
        <v>29.066500000000001</v>
      </c>
    </row>
    <row r="229" spans="1:20" x14ac:dyDescent="0.25">
      <c r="A229" t="s">
        <v>302</v>
      </c>
      <c r="B229" s="1">
        <v>45519</v>
      </c>
      <c r="C229" s="1">
        <v>45535</v>
      </c>
      <c r="D229" t="s">
        <v>120</v>
      </c>
      <c r="E229" t="s">
        <v>57</v>
      </c>
      <c r="F229" t="s">
        <v>71</v>
      </c>
      <c r="G229" t="s">
        <v>34</v>
      </c>
      <c r="H229" t="s">
        <v>25</v>
      </c>
      <c r="I229">
        <v>395</v>
      </c>
      <c r="J229">
        <v>75</v>
      </c>
      <c r="K229">
        <v>29625</v>
      </c>
      <c r="L229" t="s">
        <v>26</v>
      </c>
      <c r="M229" t="s">
        <v>27</v>
      </c>
      <c r="N229">
        <v>62</v>
      </c>
      <c r="O229" t="s">
        <v>66</v>
      </c>
      <c r="P229" t="s">
        <v>45</v>
      </c>
      <c r="Q229" t="s">
        <v>68</v>
      </c>
      <c r="R229" t="s">
        <v>69</v>
      </c>
      <c r="S229">
        <v>18.520399999999999</v>
      </c>
      <c r="T229">
        <v>73.856700000000004</v>
      </c>
    </row>
    <row r="230" spans="1:20" x14ac:dyDescent="0.25">
      <c r="A230" t="s">
        <v>115</v>
      </c>
      <c r="B230" s="1">
        <v>45520</v>
      </c>
      <c r="C230" s="1">
        <v>45535</v>
      </c>
      <c r="D230" t="s">
        <v>116</v>
      </c>
      <c r="E230" t="s">
        <v>57</v>
      </c>
      <c r="F230" t="s">
        <v>23</v>
      </c>
      <c r="G230" t="s">
        <v>72</v>
      </c>
      <c r="H230" t="s">
        <v>25</v>
      </c>
      <c r="I230">
        <v>1293</v>
      </c>
      <c r="J230">
        <v>2</v>
      </c>
      <c r="K230">
        <v>2586</v>
      </c>
      <c r="L230" t="s">
        <v>65</v>
      </c>
      <c r="M230" t="s">
        <v>36</v>
      </c>
      <c r="N230">
        <v>36</v>
      </c>
      <c r="O230" t="s">
        <v>28</v>
      </c>
      <c r="P230" t="s">
        <v>45</v>
      </c>
      <c r="Q230" t="s">
        <v>68</v>
      </c>
      <c r="R230" t="s">
        <v>69</v>
      </c>
      <c r="S230">
        <v>18.520399999999999</v>
      </c>
      <c r="T230">
        <v>73.856700000000004</v>
      </c>
    </row>
    <row r="231" spans="1:20" x14ac:dyDescent="0.25">
      <c r="A231" t="s">
        <v>303</v>
      </c>
      <c r="B231" s="1">
        <v>45521</v>
      </c>
      <c r="C231" s="1">
        <v>45535</v>
      </c>
      <c r="D231" t="s">
        <v>82</v>
      </c>
      <c r="E231" t="s">
        <v>50</v>
      </c>
      <c r="F231" t="s">
        <v>23</v>
      </c>
      <c r="G231" t="s">
        <v>24</v>
      </c>
      <c r="H231" t="s">
        <v>25</v>
      </c>
      <c r="I231">
        <v>525</v>
      </c>
      <c r="J231">
        <v>51</v>
      </c>
      <c r="K231">
        <v>26775</v>
      </c>
      <c r="L231" t="s">
        <v>26</v>
      </c>
      <c r="M231" t="s">
        <v>36</v>
      </c>
      <c r="N231">
        <v>29</v>
      </c>
      <c r="O231" t="s">
        <v>52</v>
      </c>
      <c r="P231" t="s">
        <v>45</v>
      </c>
      <c r="Q231" t="s">
        <v>68</v>
      </c>
      <c r="R231" t="s">
        <v>91</v>
      </c>
      <c r="S231">
        <v>26.912400000000002</v>
      </c>
      <c r="T231">
        <v>75.787300000000002</v>
      </c>
    </row>
    <row r="232" spans="1:20" x14ac:dyDescent="0.25">
      <c r="A232" t="s">
        <v>304</v>
      </c>
      <c r="B232" s="1">
        <v>45522</v>
      </c>
      <c r="C232" s="1">
        <v>45535</v>
      </c>
      <c r="D232" t="s">
        <v>75</v>
      </c>
      <c r="E232" t="s">
        <v>50</v>
      </c>
      <c r="F232" t="s">
        <v>33</v>
      </c>
      <c r="G232" t="s">
        <v>58</v>
      </c>
      <c r="H232" t="s">
        <v>25</v>
      </c>
      <c r="I232">
        <v>382</v>
      </c>
      <c r="J232">
        <v>75</v>
      </c>
      <c r="K232">
        <v>28650</v>
      </c>
      <c r="L232" t="s">
        <v>35</v>
      </c>
      <c r="M232" t="s">
        <v>44</v>
      </c>
      <c r="N232">
        <v>19</v>
      </c>
      <c r="O232" t="s">
        <v>87</v>
      </c>
      <c r="P232" t="s">
        <v>29</v>
      </c>
      <c r="Q232" t="s">
        <v>53</v>
      </c>
      <c r="R232" t="s">
        <v>73</v>
      </c>
      <c r="S232">
        <v>41.008200000000002</v>
      </c>
      <c r="T232">
        <v>28.978400000000001</v>
      </c>
    </row>
    <row r="233" spans="1:20" x14ac:dyDescent="0.25">
      <c r="A233" t="s">
        <v>305</v>
      </c>
      <c r="B233" s="1">
        <v>45523</v>
      </c>
      <c r="C233" s="1">
        <v>45535</v>
      </c>
      <c r="D233" t="s">
        <v>120</v>
      </c>
      <c r="E233" t="s">
        <v>57</v>
      </c>
      <c r="F233" t="s">
        <v>71</v>
      </c>
      <c r="G233" t="s">
        <v>72</v>
      </c>
      <c r="H233" t="s">
        <v>25</v>
      </c>
      <c r="I233">
        <v>356</v>
      </c>
      <c r="J233">
        <v>58</v>
      </c>
      <c r="K233">
        <v>20648</v>
      </c>
      <c r="L233" t="s">
        <v>65</v>
      </c>
      <c r="M233" t="s">
        <v>44</v>
      </c>
      <c r="N233">
        <v>23</v>
      </c>
      <c r="O233" t="s">
        <v>87</v>
      </c>
      <c r="P233" t="s">
        <v>38</v>
      </c>
      <c r="Q233" t="s">
        <v>68</v>
      </c>
      <c r="R233" t="s">
        <v>121</v>
      </c>
      <c r="S233">
        <v>12.9716</v>
      </c>
      <c r="T233">
        <v>77.5946</v>
      </c>
    </row>
    <row r="234" spans="1:20" x14ac:dyDescent="0.25">
      <c r="A234" t="s">
        <v>306</v>
      </c>
      <c r="B234" s="1">
        <v>45524</v>
      </c>
      <c r="C234" s="1">
        <v>45535</v>
      </c>
      <c r="D234" t="s">
        <v>56</v>
      </c>
      <c r="E234" t="s">
        <v>57</v>
      </c>
      <c r="F234" t="s">
        <v>23</v>
      </c>
      <c r="G234" t="s">
        <v>72</v>
      </c>
      <c r="H234" t="s">
        <v>25</v>
      </c>
      <c r="I234">
        <v>1857</v>
      </c>
      <c r="J234">
        <v>94</v>
      </c>
      <c r="K234">
        <v>174558</v>
      </c>
      <c r="L234" t="s">
        <v>26</v>
      </c>
      <c r="M234" t="s">
        <v>51</v>
      </c>
      <c r="N234">
        <v>19</v>
      </c>
      <c r="O234" t="s">
        <v>87</v>
      </c>
      <c r="P234" t="s">
        <v>45</v>
      </c>
      <c r="Q234" t="s">
        <v>68</v>
      </c>
      <c r="R234" t="s">
        <v>132</v>
      </c>
      <c r="S234">
        <v>13.082700000000001</v>
      </c>
      <c r="T234">
        <v>80.270700000000005</v>
      </c>
    </row>
    <row r="235" spans="1:20" x14ac:dyDescent="0.25">
      <c r="A235" t="s">
        <v>200</v>
      </c>
      <c r="B235" s="1">
        <v>45525</v>
      </c>
      <c r="C235" s="1">
        <v>45535</v>
      </c>
      <c r="D235" t="s">
        <v>80</v>
      </c>
      <c r="E235" t="s">
        <v>42</v>
      </c>
      <c r="F235" t="s">
        <v>71</v>
      </c>
      <c r="G235" t="s">
        <v>34</v>
      </c>
      <c r="H235" t="s">
        <v>25</v>
      </c>
      <c r="I235">
        <v>584</v>
      </c>
      <c r="J235">
        <v>21</v>
      </c>
      <c r="K235">
        <v>12264</v>
      </c>
      <c r="L235" t="s">
        <v>65</v>
      </c>
      <c r="M235" t="s">
        <v>51</v>
      </c>
      <c r="N235">
        <v>38</v>
      </c>
      <c r="O235" t="s">
        <v>28</v>
      </c>
      <c r="P235" t="s">
        <v>45</v>
      </c>
      <c r="Q235" t="s">
        <v>68</v>
      </c>
      <c r="R235" t="s">
        <v>83</v>
      </c>
      <c r="S235">
        <v>28.7041</v>
      </c>
      <c r="T235">
        <v>77.102500000000006</v>
      </c>
    </row>
    <row r="236" spans="1:20" x14ac:dyDescent="0.25">
      <c r="A236" t="s">
        <v>307</v>
      </c>
      <c r="B236" s="1">
        <v>45526</v>
      </c>
      <c r="C236" s="1">
        <v>45535</v>
      </c>
      <c r="D236" t="s">
        <v>120</v>
      </c>
      <c r="E236" t="s">
        <v>57</v>
      </c>
      <c r="F236" t="s">
        <v>23</v>
      </c>
      <c r="G236" t="s">
        <v>58</v>
      </c>
      <c r="H236" t="s">
        <v>25</v>
      </c>
      <c r="I236">
        <v>306</v>
      </c>
      <c r="J236">
        <v>20</v>
      </c>
      <c r="K236">
        <v>6120</v>
      </c>
      <c r="L236" t="s">
        <v>26</v>
      </c>
      <c r="M236" t="s">
        <v>44</v>
      </c>
      <c r="N236">
        <v>19</v>
      </c>
      <c r="O236" t="s">
        <v>87</v>
      </c>
      <c r="P236" t="s">
        <v>45</v>
      </c>
      <c r="Q236" t="s">
        <v>68</v>
      </c>
      <c r="R236" t="s">
        <v>88</v>
      </c>
      <c r="S236">
        <v>17.385000000000002</v>
      </c>
      <c r="T236">
        <v>78.486699999999999</v>
      </c>
    </row>
    <row r="237" spans="1:20" x14ac:dyDescent="0.25">
      <c r="A237" t="s">
        <v>197</v>
      </c>
      <c r="B237" s="1">
        <v>45527</v>
      </c>
      <c r="C237" s="1">
        <v>45535</v>
      </c>
      <c r="D237" t="s">
        <v>146</v>
      </c>
      <c r="E237" t="s">
        <v>57</v>
      </c>
      <c r="F237" t="s">
        <v>33</v>
      </c>
      <c r="G237" t="s">
        <v>58</v>
      </c>
      <c r="H237" t="s">
        <v>25</v>
      </c>
      <c r="I237">
        <v>442</v>
      </c>
      <c r="J237">
        <v>79</v>
      </c>
      <c r="K237">
        <v>34918</v>
      </c>
      <c r="L237" t="s">
        <v>65</v>
      </c>
      <c r="M237" t="s">
        <v>27</v>
      </c>
      <c r="N237">
        <v>46</v>
      </c>
      <c r="O237" t="s">
        <v>59</v>
      </c>
      <c r="P237" t="s">
        <v>45</v>
      </c>
      <c r="Q237" t="s">
        <v>46</v>
      </c>
      <c r="R237" t="s">
        <v>47</v>
      </c>
      <c r="S237">
        <v>22.3569</v>
      </c>
      <c r="T237">
        <v>91.783199999999994</v>
      </c>
    </row>
    <row r="238" spans="1:20" x14ac:dyDescent="0.25">
      <c r="A238" t="s">
        <v>308</v>
      </c>
      <c r="B238" s="1">
        <v>45528</v>
      </c>
      <c r="C238" s="1">
        <v>45535</v>
      </c>
      <c r="D238" t="s">
        <v>75</v>
      </c>
      <c r="E238" t="s">
        <v>50</v>
      </c>
      <c r="F238" t="s">
        <v>71</v>
      </c>
      <c r="G238" t="s">
        <v>24</v>
      </c>
      <c r="H238" t="s">
        <v>25</v>
      </c>
      <c r="I238">
        <v>356</v>
      </c>
      <c r="J238">
        <v>62</v>
      </c>
      <c r="K238">
        <v>22072</v>
      </c>
      <c r="L238" t="s">
        <v>26</v>
      </c>
      <c r="M238" t="s">
        <v>27</v>
      </c>
      <c r="N238">
        <v>59</v>
      </c>
      <c r="O238" t="s">
        <v>66</v>
      </c>
      <c r="P238" t="s">
        <v>29</v>
      </c>
      <c r="Q238" t="s">
        <v>68</v>
      </c>
      <c r="R238" t="s">
        <v>121</v>
      </c>
      <c r="S238">
        <v>12.9716</v>
      </c>
      <c r="T238">
        <v>77.5946</v>
      </c>
    </row>
    <row r="239" spans="1:20" x14ac:dyDescent="0.25">
      <c r="A239" t="s">
        <v>309</v>
      </c>
      <c r="B239" s="1">
        <v>45529</v>
      </c>
      <c r="C239" s="1">
        <v>45535</v>
      </c>
      <c r="D239" t="s">
        <v>56</v>
      </c>
      <c r="E239" t="s">
        <v>57</v>
      </c>
      <c r="F239" t="s">
        <v>71</v>
      </c>
      <c r="G239" t="s">
        <v>34</v>
      </c>
      <c r="H239" t="s">
        <v>25</v>
      </c>
      <c r="I239">
        <v>1808</v>
      </c>
      <c r="J239">
        <v>54</v>
      </c>
      <c r="K239">
        <v>97632</v>
      </c>
      <c r="L239" t="s">
        <v>26</v>
      </c>
      <c r="M239" t="s">
        <v>36</v>
      </c>
      <c r="N239">
        <v>60</v>
      </c>
      <c r="O239" t="s">
        <v>66</v>
      </c>
      <c r="P239" t="s">
        <v>29</v>
      </c>
      <c r="Q239" t="s">
        <v>53</v>
      </c>
      <c r="R239" t="s">
        <v>100</v>
      </c>
      <c r="S239">
        <v>39.933399999999999</v>
      </c>
      <c r="T239">
        <v>32.859699999999997</v>
      </c>
    </row>
    <row r="240" spans="1:20" x14ac:dyDescent="0.25">
      <c r="A240" t="s">
        <v>310</v>
      </c>
      <c r="B240" s="1">
        <v>45530</v>
      </c>
      <c r="C240" s="1">
        <v>45535</v>
      </c>
      <c r="D240" t="s">
        <v>159</v>
      </c>
      <c r="E240" t="s">
        <v>103</v>
      </c>
      <c r="F240" t="s">
        <v>71</v>
      </c>
      <c r="G240" t="s">
        <v>72</v>
      </c>
      <c r="H240" t="s">
        <v>104</v>
      </c>
      <c r="I240">
        <v>465</v>
      </c>
      <c r="J240">
        <v>71</v>
      </c>
      <c r="K240">
        <v>33015</v>
      </c>
      <c r="L240" t="s">
        <v>26</v>
      </c>
      <c r="M240" t="s">
        <v>27</v>
      </c>
      <c r="N240">
        <v>56</v>
      </c>
      <c r="O240" t="s">
        <v>37</v>
      </c>
      <c r="P240" t="s">
        <v>29</v>
      </c>
      <c r="Q240" t="s">
        <v>68</v>
      </c>
      <c r="R240" t="s">
        <v>132</v>
      </c>
      <c r="S240">
        <v>13.082700000000001</v>
      </c>
      <c r="T240">
        <v>80.270700000000005</v>
      </c>
    </row>
    <row r="241" spans="1:20" x14ac:dyDescent="0.25">
      <c r="A241" t="s">
        <v>311</v>
      </c>
      <c r="B241" s="1">
        <v>45531</v>
      </c>
      <c r="C241" s="1">
        <v>45535</v>
      </c>
      <c r="D241" t="s">
        <v>96</v>
      </c>
      <c r="E241" t="s">
        <v>42</v>
      </c>
      <c r="F241" t="s">
        <v>23</v>
      </c>
      <c r="G241" t="s">
        <v>24</v>
      </c>
      <c r="H241" t="s">
        <v>25</v>
      </c>
      <c r="I241">
        <v>891</v>
      </c>
      <c r="J241">
        <v>84</v>
      </c>
      <c r="K241">
        <v>74844</v>
      </c>
      <c r="L241" t="s">
        <v>26</v>
      </c>
      <c r="M241" t="s">
        <v>27</v>
      </c>
      <c r="N241">
        <v>39</v>
      </c>
      <c r="O241" t="s">
        <v>28</v>
      </c>
      <c r="P241" t="s">
        <v>29</v>
      </c>
      <c r="Q241" t="s">
        <v>68</v>
      </c>
      <c r="R241" t="s">
        <v>69</v>
      </c>
      <c r="S241">
        <v>18.520399999999999</v>
      </c>
      <c r="T241">
        <v>73.856700000000004</v>
      </c>
    </row>
    <row r="242" spans="1:20" x14ac:dyDescent="0.25">
      <c r="A242" t="s">
        <v>312</v>
      </c>
      <c r="B242" s="1">
        <v>45532</v>
      </c>
      <c r="C242" s="1">
        <v>45535</v>
      </c>
      <c r="D242" t="s">
        <v>129</v>
      </c>
      <c r="E242" t="s">
        <v>103</v>
      </c>
      <c r="F242" t="s">
        <v>33</v>
      </c>
      <c r="G242" t="s">
        <v>72</v>
      </c>
      <c r="H242" t="s">
        <v>104</v>
      </c>
      <c r="I242">
        <v>1156</v>
      </c>
      <c r="J242">
        <v>73</v>
      </c>
      <c r="K242">
        <v>84388</v>
      </c>
      <c r="L242" t="s">
        <v>35</v>
      </c>
      <c r="M242" t="s">
        <v>36</v>
      </c>
      <c r="N242">
        <v>63</v>
      </c>
      <c r="O242" t="s">
        <v>66</v>
      </c>
      <c r="P242" t="s">
        <v>45</v>
      </c>
      <c r="Q242" t="s">
        <v>68</v>
      </c>
      <c r="R242" t="s">
        <v>98</v>
      </c>
      <c r="S242">
        <v>22.572600000000001</v>
      </c>
      <c r="T242">
        <v>88.363900000000001</v>
      </c>
    </row>
    <row r="243" spans="1:20" x14ac:dyDescent="0.25">
      <c r="A243" t="s">
        <v>313</v>
      </c>
      <c r="B243" s="1">
        <v>45533</v>
      </c>
      <c r="C243" s="1">
        <v>45535</v>
      </c>
      <c r="D243" t="s">
        <v>116</v>
      </c>
      <c r="E243" t="s">
        <v>57</v>
      </c>
      <c r="F243" t="s">
        <v>33</v>
      </c>
      <c r="G243" t="s">
        <v>34</v>
      </c>
      <c r="H243" t="s">
        <v>25</v>
      </c>
      <c r="I243">
        <v>1286</v>
      </c>
      <c r="J243">
        <v>84</v>
      </c>
      <c r="K243">
        <v>108024</v>
      </c>
      <c r="L243" t="s">
        <v>26</v>
      </c>
      <c r="M243" t="s">
        <v>51</v>
      </c>
      <c r="N243">
        <v>26</v>
      </c>
      <c r="O243" t="s">
        <v>52</v>
      </c>
      <c r="P243" t="s">
        <v>29</v>
      </c>
      <c r="Q243" t="s">
        <v>68</v>
      </c>
      <c r="R243" t="s">
        <v>91</v>
      </c>
      <c r="S243">
        <v>26.912400000000002</v>
      </c>
      <c r="T243">
        <v>75.787300000000002</v>
      </c>
    </row>
    <row r="244" spans="1:20" x14ac:dyDescent="0.25">
      <c r="A244" t="s">
        <v>314</v>
      </c>
      <c r="B244" s="1">
        <v>45534</v>
      </c>
      <c r="C244" s="1">
        <v>45535</v>
      </c>
      <c r="D244" t="s">
        <v>49</v>
      </c>
      <c r="E244" t="s">
        <v>50</v>
      </c>
      <c r="F244" t="s">
        <v>23</v>
      </c>
      <c r="G244" t="s">
        <v>34</v>
      </c>
      <c r="H244" t="s">
        <v>25</v>
      </c>
      <c r="I244">
        <v>301</v>
      </c>
      <c r="J244">
        <v>65</v>
      </c>
      <c r="K244">
        <v>19565</v>
      </c>
      <c r="L244" t="s">
        <v>35</v>
      </c>
      <c r="M244" t="s">
        <v>36</v>
      </c>
      <c r="N244">
        <v>36</v>
      </c>
      <c r="O244" t="s">
        <v>28</v>
      </c>
      <c r="P244" t="s">
        <v>45</v>
      </c>
      <c r="Q244" t="s">
        <v>53</v>
      </c>
      <c r="R244" t="s">
        <v>62</v>
      </c>
      <c r="S244">
        <v>36.896900000000002</v>
      </c>
      <c r="T244">
        <v>30.7133</v>
      </c>
    </row>
    <row r="245" spans="1:20" x14ac:dyDescent="0.25">
      <c r="A245" t="s">
        <v>315</v>
      </c>
      <c r="B245" s="1">
        <v>45535</v>
      </c>
      <c r="C245" s="1">
        <v>45535</v>
      </c>
      <c r="D245" t="s">
        <v>75</v>
      </c>
      <c r="E245" t="s">
        <v>50</v>
      </c>
      <c r="F245" t="s">
        <v>71</v>
      </c>
      <c r="G245" t="s">
        <v>43</v>
      </c>
      <c r="H245" t="s">
        <v>25</v>
      </c>
      <c r="I245">
        <v>369</v>
      </c>
      <c r="J245">
        <v>81</v>
      </c>
      <c r="K245">
        <v>29889</v>
      </c>
      <c r="L245" t="s">
        <v>65</v>
      </c>
      <c r="M245" t="s">
        <v>51</v>
      </c>
      <c r="N245">
        <v>40</v>
      </c>
      <c r="O245" t="s">
        <v>28</v>
      </c>
      <c r="P245" t="s">
        <v>45</v>
      </c>
      <c r="Q245" t="s">
        <v>68</v>
      </c>
      <c r="R245" t="s">
        <v>88</v>
      </c>
      <c r="S245">
        <v>17.385000000000002</v>
      </c>
      <c r="T245">
        <v>78.486699999999999</v>
      </c>
    </row>
    <row r="246" spans="1:20" x14ac:dyDescent="0.25">
      <c r="A246" t="s">
        <v>316</v>
      </c>
      <c r="B246" s="1">
        <v>45536</v>
      </c>
      <c r="C246" s="1">
        <v>45565</v>
      </c>
      <c r="D246" t="s">
        <v>102</v>
      </c>
      <c r="E246" t="s">
        <v>103</v>
      </c>
      <c r="F246" t="s">
        <v>71</v>
      </c>
      <c r="G246" t="s">
        <v>72</v>
      </c>
      <c r="H246" t="s">
        <v>104</v>
      </c>
      <c r="I246">
        <v>1042</v>
      </c>
      <c r="J246">
        <v>19</v>
      </c>
      <c r="K246">
        <v>19798</v>
      </c>
      <c r="L246" t="s">
        <v>35</v>
      </c>
      <c r="M246" t="s">
        <v>36</v>
      </c>
      <c r="N246">
        <v>59</v>
      </c>
      <c r="O246" t="s">
        <v>66</v>
      </c>
      <c r="P246" t="s">
        <v>29</v>
      </c>
      <c r="Q246" t="s">
        <v>53</v>
      </c>
      <c r="R246" t="s">
        <v>100</v>
      </c>
      <c r="S246">
        <v>39.933399999999999</v>
      </c>
      <c r="T246">
        <v>32.859699999999997</v>
      </c>
    </row>
    <row r="247" spans="1:20" x14ac:dyDescent="0.25">
      <c r="A247" t="s">
        <v>265</v>
      </c>
      <c r="B247" s="1">
        <v>45537</v>
      </c>
      <c r="C247" s="1">
        <v>45565</v>
      </c>
      <c r="D247" t="s">
        <v>159</v>
      </c>
      <c r="E247" t="s">
        <v>103</v>
      </c>
      <c r="F247" t="s">
        <v>33</v>
      </c>
      <c r="G247" t="s">
        <v>24</v>
      </c>
      <c r="H247" t="s">
        <v>104</v>
      </c>
      <c r="I247">
        <v>478</v>
      </c>
      <c r="J247">
        <v>50</v>
      </c>
      <c r="K247">
        <v>23900</v>
      </c>
      <c r="L247" t="s">
        <v>26</v>
      </c>
      <c r="M247" t="s">
        <v>44</v>
      </c>
      <c r="N247">
        <v>49</v>
      </c>
      <c r="O247" t="s">
        <v>59</v>
      </c>
      <c r="P247" t="s">
        <v>29</v>
      </c>
      <c r="Q247" t="s">
        <v>30</v>
      </c>
      <c r="R247" t="s">
        <v>266</v>
      </c>
      <c r="S247">
        <v>33.684399999999997</v>
      </c>
      <c r="T247">
        <v>73.047899999999998</v>
      </c>
    </row>
    <row r="248" spans="1:20" x14ac:dyDescent="0.25">
      <c r="A248" t="s">
        <v>317</v>
      </c>
      <c r="B248" s="1">
        <v>45538</v>
      </c>
      <c r="C248" s="1">
        <v>45565</v>
      </c>
      <c r="D248" t="s">
        <v>49</v>
      </c>
      <c r="E248" t="s">
        <v>50</v>
      </c>
      <c r="F248" t="s">
        <v>23</v>
      </c>
      <c r="G248" t="s">
        <v>24</v>
      </c>
      <c r="H248" t="s">
        <v>25</v>
      </c>
      <c r="I248">
        <v>335</v>
      </c>
      <c r="J248">
        <v>70</v>
      </c>
      <c r="K248">
        <v>23450</v>
      </c>
      <c r="L248" t="s">
        <v>26</v>
      </c>
      <c r="M248" t="s">
        <v>36</v>
      </c>
      <c r="N248">
        <v>23</v>
      </c>
      <c r="O248" t="s">
        <v>87</v>
      </c>
      <c r="P248" t="s">
        <v>45</v>
      </c>
      <c r="Q248" t="s">
        <v>68</v>
      </c>
      <c r="R248" t="s">
        <v>91</v>
      </c>
      <c r="S248">
        <v>26.912400000000002</v>
      </c>
      <c r="T248">
        <v>75.787300000000002</v>
      </c>
    </row>
    <row r="249" spans="1:20" x14ac:dyDescent="0.25">
      <c r="A249" t="s">
        <v>318</v>
      </c>
      <c r="B249" s="1">
        <v>45539</v>
      </c>
      <c r="C249" s="1">
        <v>45565</v>
      </c>
      <c r="D249" t="s">
        <v>82</v>
      </c>
      <c r="E249" t="s">
        <v>50</v>
      </c>
      <c r="F249" t="s">
        <v>23</v>
      </c>
      <c r="G249" t="s">
        <v>58</v>
      </c>
      <c r="H249" t="s">
        <v>25</v>
      </c>
      <c r="I249">
        <v>546</v>
      </c>
      <c r="J249">
        <v>36</v>
      </c>
      <c r="K249">
        <v>19656</v>
      </c>
      <c r="L249" t="s">
        <v>65</v>
      </c>
      <c r="M249" t="s">
        <v>27</v>
      </c>
      <c r="N249">
        <v>20</v>
      </c>
      <c r="O249" t="s">
        <v>87</v>
      </c>
      <c r="P249" t="s">
        <v>29</v>
      </c>
      <c r="Q249" t="s">
        <v>46</v>
      </c>
      <c r="R249" t="s">
        <v>76</v>
      </c>
      <c r="S249">
        <v>23.810300000000002</v>
      </c>
      <c r="T249">
        <v>90.412499999999994</v>
      </c>
    </row>
    <row r="250" spans="1:20" x14ac:dyDescent="0.25">
      <c r="A250" t="s">
        <v>319</v>
      </c>
      <c r="B250" s="1">
        <v>45540</v>
      </c>
      <c r="C250" s="1">
        <v>45565</v>
      </c>
      <c r="D250" t="s">
        <v>78</v>
      </c>
      <c r="E250" t="s">
        <v>22</v>
      </c>
      <c r="F250" t="s">
        <v>71</v>
      </c>
      <c r="G250" t="s">
        <v>58</v>
      </c>
      <c r="H250" t="s">
        <v>25</v>
      </c>
      <c r="I250">
        <v>789</v>
      </c>
      <c r="J250">
        <v>47</v>
      </c>
      <c r="K250">
        <v>37083</v>
      </c>
      <c r="L250" t="s">
        <v>65</v>
      </c>
      <c r="M250" t="s">
        <v>27</v>
      </c>
      <c r="N250">
        <v>23</v>
      </c>
      <c r="O250" t="s">
        <v>87</v>
      </c>
      <c r="P250" t="s">
        <v>45</v>
      </c>
      <c r="Q250" t="s">
        <v>68</v>
      </c>
      <c r="R250" t="s">
        <v>83</v>
      </c>
      <c r="S250">
        <v>28.7041</v>
      </c>
      <c r="T250">
        <v>77.102500000000006</v>
      </c>
    </row>
    <row r="251" spans="1:20" x14ac:dyDescent="0.25">
      <c r="A251" t="s">
        <v>320</v>
      </c>
      <c r="B251" s="1">
        <v>45541</v>
      </c>
      <c r="C251" s="1">
        <v>45565</v>
      </c>
      <c r="D251" t="s">
        <v>146</v>
      </c>
      <c r="E251" t="s">
        <v>57</v>
      </c>
      <c r="F251" t="s">
        <v>71</v>
      </c>
      <c r="G251" t="s">
        <v>58</v>
      </c>
      <c r="H251" t="s">
        <v>25</v>
      </c>
      <c r="I251">
        <v>459</v>
      </c>
      <c r="J251">
        <v>34</v>
      </c>
      <c r="K251">
        <v>15606</v>
      </c>
      <c r="L251" t="s">
        <v>26</v>
      </c>
      <c r="M251" t="s">
        <v>27</v>
      </c>
      <c r="N251">
        <v>32</v>
      </c>
      <c r="O251" t="s">
        <v>52</v>
      </c>
      <c r="P251" t="s">
        <v>29</v>
      </c>
      <c r="Q251" t="s">
        <v>46</v>
      </c>
      <c r="R251" t="s">
        <v>60</v>
      </c>
      <c r="S251">
        <v>24.374500000000001</v>
      </c>
      <c r="T251">
        <v>88.604200000000006</v>
      </c>
    </row>
    <row r="252" spans="1:20" x14ac:dyDescent="0.25">
      <c r="A252" t="s">
        <v>321</v>
      </c>
      <c r="B252" s="1">
        <v>45542</v>
      </c>
      <c r="C252" s="1">
        <v>45565</v>
      </c>
      <c r="D252" t="s">
        <v>75</v>
      </c>
      <c r="E252" t="s">
        <v>50</v>
      </c>
      <c r="F252" t="s">
        <v>71</v>
      </c>
      <c r="G252" t="s">
        <v>58</v>
      </c>
      <c r="H252" t="s">
        <v>25</v>
      </c>
      <c r="I252">
        <v>395</v>
      </c>
      <c r="J252">
        <v>37</v>
      </c>
      <c r="K252">
        <v>14615</v>
      </c>
      <c r="L252" t="s">
        <v>26</v>
      </c>
      <c r="M252" t="s">
        <v>27</v>
      </c>
      <c r="N252">
        <v>46</v>
      </c>
      <c r="O252" t="s">
        <v>59</v>
      </c>
      <c r="P252" t="s">
        <v>45</v>
      </c>
      <c r="Q252" t="s">
        <v>30</v>
      </c>
      <c r="R252" t="s">
        <v>266</v>
      </c>
      <c r="S252">
        <v>33.684399999999997</v>
      </c>
      <c r="T252">
        <v>73.047899999999998</v>
      </c>
    </row>
    <row r="253" spans="1:20" x14ac:dyDescent="0.25">
      <c r="A253" t="s">
        <v>322</v>
      </c>
      <c r="B253" s="1">
        <v>45543</v>
      </c>
      <c r="C253" s="1">
        <v>45565</v>
      </c>
      <c r="D253" t="s">
        <v>102</v>
      </c>
      <c r="E253" t="s">
        <v>103</v>
      </c>
      <c r="F253" t="s">
        <v>71</v>
      </c>
      <c r="G253" t="s">
        <v>58</v>
      </c>
      <c r="H253" t="s">
        <v>104</v>
      </c>
      <c r="I253">
        <v>1063</v>
      </c>
      <c r="J253">
        <v>21</v>
      </c>
      <c r="K253">
        <v>22323</v>
      </c>
      <c r="L253" t="s">
        <v>26</v>
      </c>
      <c r="M253" t="s">
        <v>36</v>
      </c>
      <c r="N253">
        <v>28</v>
      </c>
      <c r="O253" t="s">
        <v>52</v>
      </c>
      <c r="P253" t="s">
        <v>29</v>
      </c>
      <c r="Q253" t="s">
        <v>68</v>
      </c>
      <c r="R253" t="s">
        <v>195</v>
      </c>
      <c r="S253">
        <v>19.076000000000001</v>
      </c>
      <c r="T253">
        <v>72.877700000000004</v>
      </c>
    </row>
    <row r="254" spans="1:20" x14ac:dyDescent="0.25">
      <c r="A254" t="s">
        <v>323</v>
      </c>
      <c r="B254" s="1">
        <v>45544</v>
      </c>
      <c r="C254" s="1">
        <v>45565</v>
      </c>
      <c r="D254" t="s">
        <v>21</v>
      </c>
      <c r="E254" t="s">
        <v>22</v>
      </c>
      <c r="F254" t="s">
        <v>33</v>
      </c>
      <c r="G254" t="s">
        <v>43</v>
      </c>
      <c r="H254" t="s">
        <v>25</v>
      </c>
      <c r="I254">
        <v>535</v>
      </c>
      <c r="J254">
        <v>11</v>
      </c>
      <c r="K254">
        <v>5885</v>
      </c>
      <c r="L254" t="s">
        <v>26</v>
      </c>
      <c r="M254" t="s">
        <v>36</v>
      </c>
      <c r="N254">
        <v>43</v>
      </c>
      <c r="O254" t="s">
        <v>59</v>
      </c>
      <c r="P254" t="s">
        <v>29</v>
      </c>
      <c r="Q254" t="s">
        <v>30</v>
      </c>
      <c r="R254" t="s">
        <v>31</v>
      </c>
      <c r="S254">
        <v>31.549700000000001</v>
      </c>
      <c r="T254">
        <v>74.343599999999995</v>
      </c>
    </row>
    <row r="255" spans="1:20" x14ac:dyDescent="0.25">
      <c r="A255" t="s">
        <v>230</v>
      </c>
      <c r="B255" s="1">
        <v>45545</v>
      </c>
      <c r="C255" s="1">
        <v>45565</v>
      </c>
      <c r="D255" t="s">
        <v>131</v>
      </c>
      <c r="E255" t="s">
        <v>103</v>
      </c>
      <c r="F255" t="s">
        <v>33</v>
      </c>
      <c r="G255" t="s">
        <v>24</v>
      </c>
      <c r="H255" t="s">
        <v>104</v>
      </c>
      <c r="I255">
        <v>800</v>
      </c>
      <c r="J255">
        <v>51</v>
      </c>
      <c r="K255">
        <v>40800</v>
      </c>
      <c r="L255" t="s">
        <v>26</v>
      </c>
      <c r="M255" t="s">
        <v>27</v>
      </c>
      <c r="N255">
        <v>27</v>
      </c>
      <c r="O255" t="s">
        <v>52</v>
      </c>
      <c r="P255" t="s">
        <v>45</v>
      </c>
      <c r="Q255" t="s">
        <v>53</v>
      </c>
      <c r="R255" t="s">
        <v>73</v>
      </c>
      <c r="S255">
        <v>41.008200000000002</v>
      </c>
      <c r="T255">
        <v>28.978400000000001</v>
      </c>
    </row>
    <row r="256" spans="1:20" x14ac:dyDescent="0.25">
      <c r="A256" t="s">
        <v>324</v>
      </c>
      <c r="B256" s="1">
        <v>45546</v>
      </c>
      <c r="C256" s="1">
        <v>45565</v>
      </c>
      <c r="D256" t="s">
        <v>80</v>
      </c>
      <c r="E256" t="s">
        <v>42</v>
      </c>
      <c r="F256" t="s">
        <v>71</v>
      </c>
      <c r="G256" t="s">
        <v>24</v>
      </c>
      <c r="H256" t="s">
        <v>25</v>
      </c>
      <c r="I256">
        <v>538</v>
      </c>
      <c r="J256">
        <v>67</v>
      </c>
      <c r="K256">
        <v>36046</v>
      </c>
      <c r="L256" t="s">
        <v>65</v>
      </c>
      <c r="M256" t="s">
        <v>44</v>
      </c>
      <c r="N256">
        <v>64</v>
      </c>
      <c r="O256" t="s">
        <v>66</v>
      </c>
      <c r="P256" t="s">
        <v>45</v>
      </c>
      <c r="Q256" t="s">
        <v>46</v>
      </c>
      <c r="R256" t="s">
        <v>76</v>
      </c>
      <c r="S256">
        <v>23.810300000000002</v>
      </c>
      <c r="T256">
        <v>90.412499999999994</v>
      </c>
    </row>
    <row r="257" spans="1:20" x14ac:dyDescent="0.25">
      <c r="A257" t="s">
        <v>325</v>
      </c>
      <c r="B257" s="1">
        <v>45547</v>
      </c>
      <c r="C257" s="1">
        <v>45565</v>
      </c>
      <c r="D257" t="s">
        <v>85</v>
      </c>
      <c r="E257" t="s">
        <v>22</v>
      </c>
      <c r="F257" t="s">
        <v>23</v>
      </c>
      <c r="G257" t="s">
        <v>58</v>
      </c>
      <c r="H257" t="s">
        <v>25</v>
      </c>
      <c r="I257">
        <v>1048</v>
      </c>
      <c r="J257">
        <v>87</v>
      </c>
      <c r="K257">
        <v>91176</v>
      </c>
      <c r="L257" t="s">
        <v>26</v>
      </c>
      <c r="M257" t="s">
        <v>44</v>
      </c>
      <c r="N257">
        <v>35</v>
      </c>
      <c r="O257" t="s">
        <v>28</v>
      </c>
      <c r="P257" t="s">
        <v>45</v>
      </c>
      <c r="Q257" t="s">
        <v>53</v>
      </c>
      <c r="R257" t="s">
        <v>54</v>
      </c>
      <c r="S257">
        <v>40.1828</v>
      </c>
      <c r="T257">
        <v>29.066500000000001</v>
      </c>
    </row>
    <row r="258" spans="1:20" x14ac:dyDescent="0.25">
      <c r="A258" t="s">
        <v>142</v>
      </c>
      <c r="B258" s="1">
        <v>45548</v>
      </c>
      <c r="C258" s="1">
        <v>45565</v>
      </c>
      <c r="D258" t="s">
        <v>131</v>
      </c>
      <c r="E258" t="s">
        <v>103</v>
      </c>
      <c r="F258" t="s">
        <v>71</v>
      </c>
      <c r="G258" t="s">
        <v>34</v>
      </c>
      <c r="H258" t="s">
        <v>104</v>
      </c>
      <c r="I258">
        <v>856</v>
      </c>
      <c r="J258">
        <v>33</v>
      </c>
      <c r="K258">
        <v>28248</v>
      </c>
      <c r="L258" t="s">
        <v>35</v>
      </c>
      <c r="M258" t="s">
        <v>27</v>
      </c>
      <c r="N258">
        <v>31</v>
      </c>
      <c r="O258" t="s">
        <v>52</v>
      </c>
      <c r="P258" t="s">
        <v>45</v>
      </c>
      <c r="Q258" t="s">
        <v>53</v>
      </c>
      <c r="R258" t="s">
        <v>94</v>
      </c>
      <c r="S258">
        <v>38.419199999999996</v>
      </c>
      <c r="T258">
        <v>27.128699999999998</v>
      </c>
    </row>
    <row r="259" spans="1:20" x14ac:dyDescent="0.25">
      <c r="A259" t="s">
        <v>326</v>
      </c>
      <c r="B259" s="1">
        <v>45549</v>
      </c>
      <c r="C259" s="1">
        <v>45565</v>
      </c>
      <c r="D259" t="s">
        <v>80</v>
      </c>
      <c r="E259" t="s">
        <v>42</v>
      </c>
      <c r="F259" t="s">
        <v>23</v>
      </c>
      <c r="G259" t="s">
        <v>72</v>
      </c>
      <c r="H259" t="s">
        <v>25</v>
      </c>
      <c r="I259">
        <v>592</v>
      </c>
      <c r="J259">
        <v>39</v>
      </c>
      <c r="K259">
        <v>23088</v>
      </c>
      <c r="L259" t="s">
        <v>26</v>
      </c>
      <c r="M259" t="s">
        <v>44</v>
      </c>
      <c r="N259">
        <v>18</v>
      </c>
      <c r="O259" t="s">
        <v>87</v>
      </c>
      <c r="P259" t="s">
        <v>45</v>
      </c>
      <c r="Q259" t="s">
        <v>46</v>
      </c>
      <c r="R259" t="s">
        <v>60</v>
      </c>
      <c r="S259">
        <v>24.374500000000001</v>
      </c>
      <c r="T259">
        <v>88.604200000000006</v>
      </c>
    </row>
    <row r="260" spans="1:20" x14ac:dyDescent="0.25">
      <c r="A260" t="s">
        <v>285</v>
      </c>
      <c r="B260" s="1">
        <v>45550</v>
      </c>
      <c r="C260" s="1">
        <v>45565</v>
      </c>
      <c r="D260" t="s">
        <v>96</v>
      </c>
      <c r="E260" t="s">
        <v>42</v>
      </c>
      <c r="F260" t="s">
        <v>71</v>
      </c>
      <c r="G260" t="s">
        <v>58</v>
      </c>
      <c r="H260" t="s">
        <v>25</v>
      </c>
      <c r="I260">
        <v>823</v>
      </c>
      <c r="J260">
        <v>92</v>
      </c>
      <c r="K260">
        <v>75716</v>
      </c>
      <c r="L260" t="s">
        <v>65</v>
      </c>
      <c r="M260" t="s">
        <v>44</v>
      </c>
      <c r="N260">
        <v>18</v>
      </c>
      <c r="O260" t="s">
        <v>87</v>
      </c>
      <c r="P260" t="s">
        <v>29</v>
      </c>
      <c r="Q260" t="s">
        <v>53</v>
      </c>
      <c r="R260" t="s">
        <v>73</v>
      </c>
      <c r="S260">
        <v>41.008200000000002</v>
      </c>
      <c r="T260">
        <v>28.978400000000001</v>
      </c>
    </row>
    <row r="261" spans="1:20" x14ac:dyDescent="0.25">
      <c r="A261" s="2" t="s">
        <v>86</v>
      </c>
      <c r="B261" s="1">
        <v>45551</v>
      </c>
      <c r="C261" s="1">
        <v>45565</v>
      </c>
      <c r="D261" t="s">
        <v>41</v>
      </c>
      <c r="E261" t="s">
        <v>42</v>
      </c>
      <c r="F261" t="s">
        <v>23</v>
      </c>
      <c r="G261" t="s">
        <v>43</v>
      </c>
      <c r="H261" t="s">
        <v>25</v>
      </c>
      <c r="I261">
        <v>676</v>
      </c>
      <c r="J261">
        <v>33</v>
      </c>
      <c r="K261">
        <v>22308</v>
      </c>
      <c r="L261" t="s">
        <v>65</v>
      </c>
      <c r="M261" t="s">
        <v>36</v>
      </c>
      <c r="N261">
        <v>20</v>
      </c>
      <c r="O261" t="s">
        <v>87</v>
      </c>
      <c r="P261" t="s">
        <v>45</v>
      </c>
      <c r="Q261" t="s">
        <v>68</v>
      </c>
      <c r="R261" t="s">
        <v>88</v>
      </c>
      <c r="S261">
        <v>17.385000000000002</v>
      </c>
      <c r="T261">
        <v>78.486699999999999</v>
      </c>
    </row>
    <row r="262" spans="1:20" x14ac:dyDescent="0.25">
      <c r="A262" t="s">
        <v>145</v>
      </c>
      <c r="B262" s="1">
        <v>45552</v>
      </c>
      <c r="C262" s="1">
        <v>45565</v>
      </c>
      <c r="D262" t="s">
        <v>146</v>
      </c>
      <c r="E262" t="s">
        <v>57</v>
      </c>
      <c r="F262" t="s">
        <v>33</v>
      </c>
      <c r="G262" t="s">
        <v>24</v>
      </c>
      <c r="H262" t="s">
        <v>25</v>
      </c>
      <c r="I262">
        <v>422</v>
      </c>
      <c r="J262">
        <v>29</v>
      </c>
      <c r="K262">
        <v>12238</v>
      </c>
      <c r="L262" t="s">
        <v>26</v>
      </c>
      <c r="M262" t="s">
        <v>27</v>
      </c>
      <c r="N262">
        <v>48</v>
      </c>
      <c r="O262" t="s">
        <v>59</v>
      </c>
      <c r="P262" t="s">
        <v>29</v>
      </c>
      <c r="Q262" t="s">
        <v>68</v>
      </c>
      <c r="R262" t="s">
        <v>69</v>
      </c>
      <c r="S262">
        <v>18.520399999999999</v>
      </c>
      <c r="T262">
        <v>73.856700000000004</v>
      </c>
    </row>
    <row r="263" spans="1:20" x14ac:dyDescent="0.25">
      <c r="A263" t="s">
        <v>327</v>
      </c>
      <c r="B263" s="1">
        <v>45553</v>
      </c>
      <c r="C263" s="1">
        <v>45565</v>
      </c>
      <c r="D263" t="s">
        <v>80</v>
      </c>
      <c r="E263" t="s">
        <v>42</v>
      </c>
      <c r="F263" t="s">
        <v>71</v>
      </c>
      <c r="G263" t="s">
        <v>43</v>
      </c>
      <c r="H263" t="s">
        <v>25</v>
      </c>
      <c r="I263">
        <v>583</v>
      </c>
      <c r="J263">
        <v>44</v>
      </c>
      <c r="K263">
        <v>25652</v>
      </c>
      <c r="L263" t="s">
        <v>26</v>
      </c>
      <c r="M263" t="s">
        <v>51</v>
      </c>
      <c r="N263">
        <v>28</v>
      </c>
      <c r="O263" t="s">
        <v>52</v>
      </c>
      <c r="P263" t="s">
        <v>45</v>
      </c>
      <c r="Q263" t="s">
        <v>68</v>
      </c>
      <c r="R263" t="s">
        <v>170</v>
      </c>
      <c r="S263">
        <v>23.022500000000001</v>
      </c>
      <c r="T263">
        <v>72.571399999999997</v>
      </c>
    </row>
    <row r="264" spans="1:20" x14ac:dyDescent="0.25">
      <c r="A264" t="s">
        <v>194</v>
      </c>
      <c r="B264" s="1">
        <v>45554</v>
      </c>
      <c r="C264" s="1">
        <v>45565</v>
      </c>
      <c r="D264" t="s">
        <v>126</v>
      </c>
      <c r="E264" t="s">
        <v>103</v>
      </c>
      <c r="F264" t="s">
        <v>23</v>
      </c>
      <c r="G264" t="s">
        <v>58</v>
      </c>
      <c r="H264" t="s">
        <v>104</v>
      </c>
      <c r="I264">
        <v>872</v>
      </c>
      <c r="J264">
        <v>54</v>
      </c>
      <c r="K264">
        <v>47088</v>
      </c>
      <c r="L264" t="s">
        <v>26</v>
      </c>
      <c r="M264" t="s">
        <v>27</v>
      </c>
      <c r="N264">
        <v>55</v>
      </c>
      <c r="O264" t="s">
        <v>37</v>
      </c>
      <c r="P264" t="s">
        <v>29</v>
      </c>
      <c r="Q264" t="s">
        <v>68</v>
      </c>
      <c r="R264" t="s">
        <v>195</v>
      </c>
      <c r="S264">
        <v>19.076000000000001</v>
      </c>
      <c r="T264">
        <v>72.877700000000004</v>
      </c>
    </row>
    <row r="265" spans="1:20" x14ac:dyDescent="0.25">
      <c r="A265" t="s">
        <v>328</v>
      </c>
      <c r="B265" s="1">
        <v>45555</v>
      </c>
      <c r="C265" s="1">
        <v>45565</v>
      </c>
      <c r="D265" t="s">
        <v>96</v>
      </c>
      <c r="E265" t="s">
        <v>42</v>
      </c>
      <c r="F265" t="s">
        <v>71</v>
      </c>
      <c r="G265" t="s">
        <v>58</v>
      </c>
      <c r="H265" t="s">
        <v>25</v>
      </c>
      <c r="I265">
        <v>835</v>
      </c>
      <c r="J265">
        <v>94</v>
      </c>
      <c r="K265">
        <v>78490</v>
      </c>
      <c r="L265" t="s">
        <v>26</v>
      </c>
      <c r="M265" t="s">
        <v>27</v>
      </c>
      <c r="N265">
        <v>23</v>
      </c>
      <c r="O265" t="s">
        <v>87</v>
      </c>
      <c r="P265" t="s">
        <v>45</v>
      </c>
      <c r="Q265" t="s">
        <v>68</v>
      </c>
      <c r="R265" t="s">
        <v>91</v>
      </c>
      <c r="S265">
        <v>26.912400000000002</v>
      </c>
      <c r="T265">
        <v>75.787300000000002</v>
      </c>
    </row>
    <row r="266" spans="1:20" x14ac:dyDescent="0.25">
      <c r="A266" t="s">
        <v>329</v>
      </c>
      <c r="B266" s="1">
        <v>45556</v>
      </c>
      <c r="C266" s="1">
        <v>45565</v>
      </c>
      <c r="D266" t="s">
        <v>82</v>
      </c>
      <c r="E266" t="s">
        <v>50</v>
      </c>
      <c r="F266" t="s">
        <v>71</v>
      </c>
      <c r="G266" t="s">
        <v>58</v>
      </c>
      <c r="H266" t="s">
        <v>25</v>
      </c>
      <c r="I266">
        <v>518</v>
      </c>
      <c r="J266">
        <v>24</v>
      </c>
      <c r="K266">
        <v>12432</v>
      </c>
      <c r="L266" t="s">
        <v>65</v>
      </c>
      <c r="M266" t="s">
        <v>51</v>
      </c>
      <c r="N266">
        <v>40</v>
      </c>
      <c r="O266" t="s">
        <v>28</v>
      </c>
      <c r="P266" t="s">
        <v>45</v>
      </c>
      <c r="Q266" t="s">
        <v>68</v>
      </c>
      <c r="R266" t="s">
        <v>170</v>
      </c>
      <c r="S266">
        <v>23.022500000000001</v>
      </c>
      <c r="T266">
        <v>72.571399999999997</v>
      </c>
    </row>
    <row r="267" spans="1:20" x14ac:dyDescent="0.25">
      <c r="A267" t="s">
        <v>330</v>
      </c>
      <c r="B267" s="1">
        <v>45557</v>
      </c>
      <c r="C267" s="1">
        <v>45565</v>
      </c>
      <c r="D267" t="s">
        <v>159</v>
      </c>
      <c r="E267" t="s">
        <v>103</v>
      </c>
      <c r="F267" t="s">
        <v>33</v>
      </c>
      <c r="G267" t="s">
        <v>24</v>
      </c>
      <c r="H267" t="s">
        <v>104</v>
      </c>
      <c r="I267">
        <v>429</v>
      </c>
      <c r="J267">
        <v>46</v>
      </c>
      <c r="K267">
        <v>19734</v>
      </c>
      <c r="L267" t="s">
        <v>65</v>
      </c>
      <c r="M267" t="s">
        <v>44</v>
      </c>
      <c r="N267">
        <v>52</v>
      </c>
      <c r="O267" t="s">
        <v>37</v>
      </c>
      <c r="P267" t="s">
        <v>29</v>
      </c>
      <c r="Q267" t="s">
        <v>68</v>
      </c>
      <c r="R267" t="s">
        <v>69</v>
      </c>
      <c r="S267">
        <v>18.520399999999999</v>
      </c>
      <c r="T267">
        <v>73.856700000000004</v>
      </c>
    </row>
    <row r="268" spans="1:20" x14ac:dyDescent="0.25">
      <c r="A268" t="s">
        <v>331</v>
      </c>
      <c r="B268" s="1">
        <v>45558</v>
      </c>
      <c r="C268" s="1">
        <v>45565</v>
      </c>
      <c r="D268" t="s">
        <v>21</v>
      </c>
      <c r="E268" t="s">
        <v>22</v>
      </c>
      <c r="F268" t="s">
        <v>23</v>
      </c>
      <c r="G268" t="s">
        <v>34</v>
      </c>
      <c r="H268" t="s">
        <v>25</v>
      </c>
      <c r="I268">
        <v>520</v>
      </c>
      <c r="J268">
        <v>6</v>
      </c>
      <c r="K268">
        <v>3120</v>
      </c>
      <c r="L268" t="s">
        <v>26</v>
      </c>
      <c r="M268" t="s">
        <v>27</v>
      </c>
      <c r="N268">
        <v>34</v>
      </c>
      <c r="O268" t="s">
        <v>28</v>
      </c>
      <c r="P268" t="s">
        <v>45</v>
      </c>
      <c r="Q268" t="s">
        <v>46</v>
      </c>
      <c r="R268" t="s">
        <v>111</v>
      </c>
      <c r="S268">
        <v>22.845600000000001</v>
      </c>
      <c r="T268">
        <v>89.540300000000002</v>
      </c>
    </row>
    <row r="269" spans="1:20" x14ac:dyDescent="0.25">
      <c r="A269" t="s">
        <v>332</v>
      </c>
      <c r="B269" s="1">
        <v>45559</v>
      </c>
      <c r="C269" s="1">
        <v>45565</v>
      </c>
      <c r="D269" t="s">
        <v>159</v>
      </c>
      <c r="E269" t="s">
        <v>103</v>
      </c>
      <c r="F269" t="s">
        <v>33</v>
      </c>
      <c r="G269" t="s">
        <v>34</v>
      </c>
      <c r="H269" t="s">
        <v>104</v>
      </c>
      <c r="I269">
        <v>459</v>
      </c>
      <c r="J269">
        <v>33</v>
      </c>
      <c r="K269">
        <v>15147</v>
      </c>
      <c r="L269" t="s">
        <v>26</v>
      </c>
      <c r="M269" t="s">
        <v>51</v>
      </c>
      <c r="N269">
        <v>22</v>
      </c>
      <c r="O269" t="s">
        <v>87</v>
      </c>
      <c r="P269" t="s">
        <v>38</v>
      </c>
      <c r="Q269" t="s">
        <v>53</v>
      </c>
      <c r="R269" t="s">
        <v>54</v>
      </c>
      <c r="S269">
        <v>40.1828</v>
      </c>
      <c r="T269">
        <v>29.066500000000001</v>
      </c>
    </row>
    <row r="270" spans="1:20" x14ac:dyDescent="0.25">
      <c r="A270" t="s">
        <v>128</v>
      </c>
      <c r="B270" s="1">
        <v>45560</v>
      </c>
      <c r="C270" s="1">
        <v>45565</v>
      </c>
      <c r="D270" t="s">
        <v>129</v>
      </c>
      <c r="E270" t="s">
        <v>103</v>
      </c>
      <c r="F270" t="s">
        <v>71</v>
      </c>
      <c r="G270" t="s">
        <v>34</v>
      </c>
      <c r="H270" t="s">
        <v>104</v>
      </c>
      <c r="I270">
        <v>1134</v>
      </c>
      <c r="J270">
        <v>54</v>
      </c>
      <c r="K270">
        <v>61236</v>
      </c>
      <c r="L270" t="s">
        <v>26</v>
      </c>
      <c r="M270" t="s">
        <v>44</v>
      </c>
      <c r="N270">
        <v>27</v>
      </c>
      <c r="O270" t="s">
        <v>52</v>
      </c>
      <c r="P270" t="s">
        <v>29</v>
      </c>
      <c r="Q270" t="s">
        <v>53</v>
      </c>
      <c r="R270" t="s">
        <v>54</v>
      </c>
      <c r="S270">
        <v>40.1828</v>
      </c>
      <c r="T270">
        <v>29.066500000000001</v>
      </c>
    </row>
    <row r="271" spans="1:20" x14ac:dyDescent="0.25">
      <c r="A271" t="s">
        <v>333</v>
      </c>
      <c r="B271" s="1">
        <v>45561</v>
      </c>
      <c r="C271" s="1">
        <v>45565</v>
      </c>
      <c r="D271" t="s">
        <v>49</v>
      </c>
      <c r="E271" t="s">
        <v>50</v>
      </c>
      <c r="F271" t="s">
        <v>23</v>
      </c>
      <c r="G271" t="s">
        <v>58</v>
      </c>
      <c r="H271" t="s">
        <v>25</v>
      </c>
      <c r="I271">
        <v>335</v>
      </c>
      <c r="J271">
        <v>95</v>
      </c>
      <c r="K271">
        <v>31825</v>
      </c>
      <c r="L271" t="s">
        <v>35</v>
      </c>
      <c r="M271" t="s">
        <v>44</v>
      </c>
      <c r="N271">
        <v>46</v>
      </c>
      <c r="O271" t="s">
        <v>59</v>
      </c>
      <c r="P271" t="s">
        <v>45</v>
      </c>
      <c r="Q271" t="s">
        <v>68</v>
      </c>
      <c r="R271" t="s">
        <v>121</v>
      </c>
      <c r="S271">
        <v>12.9716</v>
      </c>
      <c r="T271">
        <v>77.5946</v>
      </c>
    </row>
    <row r="272" spans="1:20" x14ac:dyDescent="0.25">
      <c r="A272" t="s">
        <v>334</v>
      </c>
      <c r="B272" s="1">
        <v>45562</v>
      </c>
      <c r="C272" s="1">
        <v>45565</v>
      </c>
      <c r="D272" t="s">
        <v>75</v>
      </c>
      <c r="E272" t="s">
        <v>50</v>
      </c>
      <c r="F272" t="s">
        <v>33</v>
      </c>
      <c r="G272" t="s">
        <v>34</v>
      </c>
      <c r="H272" t="s">
        <v>25</v>
      </c>
      <c r="I272">
        <v>357</v>
      </c>
      <c r="J272">
        <v>67</v>
      </c>
      <c r="K272">
        <v>23919</v>
      </c>
      <c r="L272" t="s">
        <v>65</v>
      </c>
      <c r="M272" t="s">
        <v>36</v>
      </c>
      <c r="N272">
        <v>34</v>
      </c>
      <c r="O272" t="s">
        <v>28</v>
      </c>
      <c r="P272" t="s">
        <v>45</v>
      </c>
      <c r="Q272" t="s">
        <v>30</v>
      </c>
      <c r="R272" t="s">
        <v>202</v>
      </c>
      <c r="S272">
        <v>24.860700000000001</v>
      </c>
      <c r="T272">
        <v>67.001099999999994</v>
      </c>
    </row>
    <row r="273" spans="1:20" x14ac:dyDescent="0.25">
      <c r="A273" t="s">
        <v>335</v>
      </c>
      <c r="B273" s="1">
        <v>45563</v>
      </c>
      <c r="C273" s="1">
        <v>45565</v>
      </c>
      <c r="D273" t="s">
        <v>129</v>
      </c>
      <c r="E273" t="s">
        <v>103</v>
      </c>
      <c r="F273" t="s">
        <v>23</v>
      </c>
      <c r="G273" t="s">
        <v>24</v>
      </c>
      <c r="H273" t="s">
        <v>104</v>
      </c>
      <c r="I273">
        <v>1189</v>
      </c>
      <c r="J273">
        <v>40</v>
      </c>
      <c r="K273">
        <v>47560</v>
      </c>
      <c r="L273" t="s">
        <v>35</v>
      </c>
      <c r="M273" t="s">
        <v>44</v>
      </c>
      <c r="N273">
        <v>19</v>
      </c>
      <c r="O273" t="s">
        <v>87</v>
      </c>
      <c r="P273" t="s">
        <v>29</v>
      </c>
      <c r="Q273" t="s">
        <v>68</v>
      </c>
      <c r="R273" t="s">
        <v>69</v>
      </c>
      <c r="S273">
        <v>18.520399999999999</v>
      </c>
      <c r="T273">
        <v>73.856700000000004</v>
      </c>
    </row>
    <row r="274" spans="1:20" x14ac:dyDescent="0.25">
      <c r="A274" t="s">
        <v>336</v>
      </c>
      <c r="B274" s="1">
        <v>45564</v>
      </c>
      <c r="C274" s="1">
        <v>45565</v>
      </c>
      <c r="D274" t="s">
        <v>56</v>
      </c>
      <c r="E274" t="s">
        <v>57</v>
      </c>
      <c r="F274" t="s">
        <v>33</v>
      </c>
      <c r="G274" t="s">
        <v>24</v>
      </c>
      <c r="H274" t="s">
        <v>25</v>
      </c>
      <c r="I274">
        <v>1815</v>
      </c>
      <c r="J274">
        <v>59</v>
      </c>
      <c r="K274">
        <v>107085</v>
      </c>
      <c r="L274" t="s">
        <v>26</v>
      </c>
      <c r="M274" t="s">
        <v>51</v>
      </c>
      <c r="N274">
        <v>45</v>
      </c>
      <c r="O274" t="s">
        <v>59</v>
      </c>
      <c r="P274" t="s">
        <v>38</v>
      </c>
      <c r="Q274" t="s">
        <v>68</v>
      </c>
      <c r="R274" t="s">
        <v>98</v>
      </c>
      <c r="S274">
        <v>22.572600000000001</v>
      </c>
      <c r="T274">
        <v>88.363900000000001</v>
      </c>
    </row>
    <row r="275" spans="1:20" x14ac:dyDescent="0.25">
      <c r="A275" t="s">
        <v>337</v>
      </c>
      <c r="B275" s="1">
        <v>45565</v>
      </c>
      <c r="C275" s="1">
        <v>45565</v>
      </c>
      <c r="D275" t="s">
        <v>21</v>
      </c>
      <c r="E275" t="s">
        <v>22</v>
      </c>
      <c r="F275" t="s">
        <v>33</v>
      </c>
      <c r="G275" t="s">
        <v>34</v>
      </c>
      <c r="H275" t="s">
        <v>25</v>
      </c>
      <c r="I275">
        <v>520</v>
      </c>
      <c r="J275">
        <v>6</v>
      </c>
      <c r="K275">
        <v>3120</v>
      </c>
      <c r="L275" t="s">
        <v>26</v>
      </c>
      <c r="M275" t="s">
        <v>27</v>
      </c>
      <c r="N275">
        <v>30</v>
      </c>
      <c r="O275" t="s">
        <v>52</v>
      </c>
      <c r="P275" t="s">
        <v>45</v>
      </c>
      <c r="Q275" t="s">
        <v>53</v>
      </c>
      <c r="R275" t="s">
        <v>100</v>
      </c>
      <c r="S275">
        <v>39.933399999999999</v>
      </c>
      <c r="T275">
        <v>32.859699999999997</v>
      </c>
    </row>
    <row r="276" spans="1:20" x14ac:dyDescent="0.25">
      <c r="A276" t="s">
        <v>144</v>
      </c>
      <c r="B276" s="1">
        <v>45566</v>
      </c>
      <c r="C276" s="1">
        <v>45596</v>
      </c>
      <c r="D276" t="s">
        <v>56</v>
      </c>
      <c r="E276" t="s">
        <v>57</v>
      </c>
      <c r="F276" t="s">
        <v>33</v>
      </c>
      <c r="G276" t="s">
        <v>72</v>
      </c>
      <c r="H276" t="s">
        <v>25</v>
      </c>
      <c r="I276">
        <v>1858</v>
      </c>
      <c r="J276">
        <v>17</v>
      </c>
      <c r="K276">
        <v>31586</v>
      </c>
      <c r="L276" t="s">
        <v>26</v>
      </c>
      <c r="M276" t="s">
        <v>44</v>
      </c>
      <c r="N276">
        <v>27</v>
      </c>
      <c r="O276" t="s">
        <v>52</v>
      </c>
      <c r="P276" t="s">
        <v>45</v>
      </c>
      <c r="Q276" t="s">
        <v>46</v>
      </c>
      <c r="R276" t="s">
        <v>111</v>
      </c>
      <c r="S276">
        <v>22.845600000000001</v>
      </c>
      <c r="T276">
        <v>89.540300000000002</v>
      </c>
    </row>
    <row r="277" spans="1:20" x14ac:dyDescent="0.25">
      <c r="A277" t="s">
        <v>338</v>
      </c>
      <c r="B277" s="1">
        <v>45567</v>
      </c>
      <c r="C277" s="1">
        <v>45596</v>
      </c>
      <c r="D277" t="s">
        <v>85</v>
      </c>
      <c r="E277" t="s">
        <v>22</v>
      </c>
      <c r="F277" t="s">
        <v>33</v>
      </c>
      <c r="G277" t="s">
        <v>58</v>
      </c>
      <c r="H277" t="s">
        <v>25</v>
      </c>
      <c r="I277">
        <v>1029</v>
      </c>
      <c r="J277">
        <v>71</v>
      </c>
      <c r="K277">
        <v>73059</v>
      </c>
      <c r="L277" t="s">
        <v>26</v>
      </c>
      <c r="M277" t="s">
        <v>36</v>
      </c>
      <c r="N277">
        <v>47</v>
      </c>
      <c r="O277" t="s">
        <v>59</v>
      </c>
      <c r="P277" t="s">
        <v>45</v>
      </c>
      <c r="Q277" t="s">
        <v>68</v>
      </c>
      <c r="R277" t="s">
        <v>91</v>
      </c>
      <c r="S277">
        <v>26.912400000000002</v>
      </c>
      <c r="T277">
        <v>75.787300000000002</v>
      </c>
    </row>
    <row r="278" spans="1:20" x14ac:dyDescent="0.25">
      <c r="A278" t="s">
        <v>339</v>
      </c>
      <c r="B278" s="1">
        <v>45568</v>
      </c>
      <c r="C278" s="1">
        <v>45596</v>
      </c>
      <c r="D278" t="s">
        <v>126</v>
      </c>
      <c r="E278" t="s">
        <v>103</v>
      </c>
      <c r="F278" t="s">
        <v>33</v>
      </c>
      <c r="G278" t="s">
        <v>58</v>
      </c>
      <c r="H278" t="s">
        <v>104</v>
      </c>
      <c r="I278">
        <v>864</v>
      </c>
      <c r="J278">
        <v>67</v>
      </c>
      <c r="K278">
        <v>57888</v>
      </c>
      <c r="L278" t="s">
        <v>65</v>
      </c>
      <c r="M278" t="s">
        <v>27</v>
      </c>
      <c r="N278">
        <v>30</v>
      </c>
      <c r="O278" t="s">
        <v>52</v>
      </c>
      <c r="P278" t="s">
        <v>45</v>
      </c>
      <c r="Q278" t="s">
        <v>53</v>
      </c>
      <c r="R278" t="s">
        <v>94</v>
      </c>
      <c r="S278">
        <v>38.419199999999996</v>
      </c>
      <c r="T278">
        <v>27.128699999999998</v>
      </c>
    </row>
    <row r="279" spans="1:20" x14ac:dyDescent="0.25">
      <c r="A279" t="s">
        <v>340</v>
      </c>
      <c r="B279" s="1">
        <v>45569</v>
      </c>
      <c r="C279" s="1">
        <v>45596</v>
      </c>
      <c r="D279" t="s">
        <v>82</v>
      </c>
      <c r="E279" t="s">
        <v>50</v>
      </c>
      <c r="F279" t="s">
        <v>33</v>
      </c>
      <c r="G279" t="s">
        <v>24</v>
      </c>
      <c r="H279" t="s">
        <v>25</v>
      </c>
      <c r="I279">
        <v>538</v>
      </c>
      <c r="J279">
        <v>49</v>
      </c>
      <c r="K279">
        <v>26362</v>
      </c>
      <c r="L279" t="s">
        <v>35</v>
      </c>
      <c r="M279" t="s">
        <v>36</v>
      </c>
      <c r="N279">
        <v>64</v>
      </c>
      <c r="O279" t="s">
        <v>66</v>
      </c>
      <c r="P279" t="s">
        <v>45</v>
      </c>
      <c r="Q279" t="s">
        <v>53</v>
      </c>
      <c r="R279" t="s">
        <v>94</v>
      </c>
      <c r="S279">
        <v>38.419199999999996</v>
      </c>
      <c r="T279">
        <v>27.128699999999998</v>
      </c>
    </row>
    <row r="280" spans="1:20" x14ac:dyDescent="0.25">
      <c r="A280" t="s">
        <v>341</v>
      </c>
      <c r="B280" s="1">
        <v>45570</v>
      </c>
      <c r="C280" s="1">
        <v>45596</v>
      </c>
      <c r="D280" t="s">
        <v>56</v>
      </c>
      <c r="E280" t="s">
        <v>57</v>
      </c>
      <c r="F280" t="s">
        <v>33</v>
      </c>
      <c r="G280" t="s">
        <v>58</v>
      </c>
      <c r="H280" t="s">
        <v>25</v>
      </c>
      <c r="I280">
        <v>1837</v>
      </c>
      <c r="J280">
        <v>6</v>
      </c>
      <c r="K280">
        <v>11022</v>
      </c>
      <c r="L280" t="s">
        <v>26</v>
      </c>
      <c r="M280" t="s">
        <v>36</v>
      </c>
      <c r="N280">
        <v>42</v>
      </c>
      <c r="O280" t="s">
        <v>59</v>
      </c>
      <c r="P280" t="s">
        <v>29</v>
      </c>
      <c r="Q280" t="s">
        <v>68</v>
      </c>
      <c r="R280" t="s">
        <v>98</v>
      </c>
      <c r="S280">
        <v>22.572600000000001</v>
      </c>
      <c r="T280">
        <v>88.363900000000001</v>
      </c>
    </row>
    <row r="281" spans="1:20" x14ac:dyDescent="0.25">
      <c r="A281" t="s">
        <v>342</v>
      </c>
      <c r="B281" s="1">
        <v>45571</v>
      </c>
      <c r="C281" s="1">
        <v>45596</v>
      </c>
      <c r="D281" t="s">
        <v>80</v>
      </c>
      <c r="E281" t="s">
        <v>42</v>
      </c>
      <c r="F281" t="s">
        <v>23</v>
      </c>
      <c r="G281" t="s">
        <v>34</v>
      </c>
      <c r="H281" t="s">
        <v>25</v>
      </c>
      <c r="I281">
        <v>561</v>
      </c>
      <c r="J281">
        <v>53</v>
      </c>
      <c r="K281">
        <v>29733</v>
      </c>
      <c r="L281" t="s">
        <v>35</v>
      </c>
      <c r="M281" t="s">
        <v>51</v>
      </c>
      <c r="N281">
        <v>28</v>
      </c>
      <c r="O281" t="s">
        <v>52</v>
      </c>
      <c r="P281" t="s">
        <v>45</v>
      </c>
      <c r="Q281" t="s">
        <v>53</v>
      </c>
      <c r="R281" t="s">
        <v>94</v>
      </c>
      <c r="S281">
        <v>38.419199999999996</v>
      </c>
      <c r="T281">
        <v>27.128699999999998</v>
      </c>
    </row>
    <row r="282" spans="1:20" x14ac:dyDescent="0.25">
      <c r="A282" t="s">
        <v>305</v>
      </c>
      <c r="B282" s="1">
        <v>45572</v>
      </c>
      <c r="C282" s="1">
        <v>45596</v>
      </c>
      <c r="D282" t="s">
        <v>120</v>
      </c>
      <c r="E282" t="s">
        <v>57</v>
      </c>
      <c r="F282" t="s">
        <v>71</v>
      </c>
      <c r="G282" t="s">
        <v>72</v>
      </c>
      <c r="H282" t="s">
        <v>25</v>
      </c>
      <c r="I282">
        <v>356</v>
      </c>
      <c r="J282">
        <v>58</v>
      </c>
      <c r="K282">
        <v>20648</v>
      </c>
      <c r="L282" t="s">
        <v>65</v>
      </c>
      <c r="M282" t="s">
        <v>44</v>
      </c>
      <c r="N282">
        <v>23</v>
      </c>
      <c r="O282" t="s">
        <v>87</v>
      </c>
      <c r="P282" t="s">
        <v>38</v>
      </c>
      <c r="Q282" t="s">
        <v>68</v>
      </c>
      <c r="R282" t="s">
        <v>121</v>
      </c>
      <c r="S282">
        <v>12.9716</v>
      </c>
      <c r="T282">
        <v>77.5946</v>
      </c>
    </row>
    <row r="283" spans="1:20" x14ac:dyDescent="0.25">
      <c r="A283" t="s">
        <v>343</v>
      </c>
      <c r="B283" s="1">
        <v>45573</v>
      </c>
      <c r="C283" s="1">
        <v>45596</v>
      </c>
      <c r="D283" t="s">
        <v>41</v>
      </c>
      <c r="E283" t="s">
        <v>42</v>
      </c>
      <c r="F283" t="s">
        <v>23</v>
      </c>
      <c r="G283" t="s">
        <v>34</v>
      </c>
      <c r="H283" t="s">
        <v>25</v>
      </c>
      <c r="I283">
        <v>683</v>
      </c>
      <c r="J283">
        <v>90</v>
      </c>
      <c r="K283">
        <v>61470</v>
      </c>
      <c r="L283" t="s">
        <v>26</v>
      </c>
      <c r="M283" t="s">
        <v>36</v>
      </c>
      <c r="N283">
        <v>62</v>
      </c>
      <c r="O283" t="s">
        <v>66</v>
      </c>
      <c r="P283" t="s">
        <v>45</v>
      </c>
      <c r="Q283" t="s">
        <v>68</v>
      </c>
      <c r="R283" t="s">
        <v>170</v>
      </c>
      <c r="S283">
        <v>23.022500000000001</v>
      </c>
      <c r="T283">
        <v>72.571399999999997</v>
      </c>
    </row>
    <row r="284" spans="1:20" x14ac:dyDescent="0.25">
      <c r="A284" t="s">
        <v>344</v>
      </c>
      <c r="B284" s="1">
        <v>45574</v>
      </c>
      <c r="C284" s="1">
        <v>45596</v>
      </c>
      <c r="D284" t="s">
        <v>146</v>
      </c>
      <c r="E284" t="s">
        <v>57</v>
      </c>
      <c r="F284" t="s">
        <v>33</v>
      </c>
      <c r="G284" t="s">
        <v>24</v>
      </c>
      <c r="H284" t="s">
        <v>25</v>
      </c>
      <c r="I284">
        <v>443</v>
      </c>
      <c r="J284">
        <v>77</v>
      </c>
      <c r="K284">
        <v>34111</v>
      </c>
      <c r="L284" t="s">
        <v>26</v>
      </c>
      <c r="M284" t="s">
        <v>36</v>
      </c>
      <c r="N284">
        <v>62</v>
      </c>
      <c r="O284" t="s">
        <v>66</v>
      </c>
      <c r="P284" t="s">
        <v>45</v>
      </c>
      <c r="Q284" t="s">
        <v>68</v>
      </c>
      <c r="R284" t="s">
        <v>195</v>
      </c>
      <c r="S284">
        <v>19.076000000000001</v>
      </c>
      <c r="T284">
        <v>72.877700000000004</v>
      </c>
    </row>
    <row r="285" spans="1:20" x14ac:dyDescent="0.25">
      <c r="A285" t="s">
        <v>345</v>
      </c>
      <c r="B285" s="1">
        <v>45575</v>
      </c>
      <c r="C285" s="1">
        <v>45596</v>
      </c>
      <c r="D285" t="s">
        <v>64</v>
      </c>
      <c r="E285" t="s">
        <v>50</v>
      </c>
      <c r="F285" t="s">
        <v>71</v>
      </c>
      <c r="G285" t="s">
        <v>58</v>
      </c>
      <c r="H285" t="s">
        <v>25</v>
      </c>
      <c r="I285">
        <v>828</v>
      </c>
      <c r="J285">
        <v>42</v>
      </c>
      <c r="K285">
        <v>34776</v>
      </c>
      <c r="L285" t="s">
        <v>26</v>
      </c>
      <c r="M285" t="s">
        <v>36</v>
      </c>
      <c r="N285">
        <v>19</v>
      </c>
      <c r="O285" t="s">
        <v>87</v>
      </c>
      <c r="P285" t="s">
        <v>29</v>
      </c>
      <c r="Q285" t="s">
        <v>53</v>
      </c>
      <c r="R285" t="s">
        <v>73</v>
      </c>
      <c r="S285">
        <v>41.008200000000002</v>
      </c>
      <c r="T285">
        <v>28.978400000000001</v>
      </c>
    </row>
    <row r="286" spans="1:20" x14ac:dyDescent="0.25">
      <c r="A286" t="s">
        <v>346</v>
      </c>
      <c r="B286" s="1">
        <v>45576</v>
      </c>
      <c r="C286" s="1">
        <v>45596</v>
      </c>
      <c r="D286" t="s">
        <v>96</v>
      </c>
      <c r="E286" t="s">
        <v>42</v>
      </c>
      <c r="F286" t="s">
        <v>33</v>
      </c>
      <c r="G286" t="s">
        <v>72</v>
      </c>
      <c r="H286" t="s">
        <v>25</v>
      </c>
      <c r="I286">
        <v>814</v>
      </c>
      <c r="J286">
        <v>37</v>
      </c>
      <c r="K286">
        <v>30118</v>
      </c>
      <c r="L286" t="s">
        <v>26</v>
      </c>
      <c r="M286" t="s">
        <v>36</v>
      </c>
      <c r="N286">
        <v>47</v>
      </c>
      <c r="O286" t="s">
        <v>59</v>
      </c>
      <c r="P286" t="s">
        <v>29</v>
      </c>
      <c r="Q286" t="s">
        <v>53</v>
      </c>
      <c r="R286" t="s">
        <v>73</v>
      </c>
      <c r="S286">
        <v>41.008200000000002</v>
      </c>
      <c r="T286">
        <v>28.978400000000001</v>
      </c>
    </row>
    <row r="287" spans="1:20" x14ac:dyDescent="0.25">
      <c r="A287" t="s">
        <v>347</v>
      </c>
      <c r="B287" s="1">
        <v>45577</v>
      </c>
      <c r="C287" s="1">
        <v>45596</v>
      </c>
      <c r="D287" t="s">
        <v>21</v>
      </c>
      <c r="E287" t="s">
        <v>22</v>
      </c>
      <c r="F287" t="s">
        <v>23</v>
      </c>
      <c r="G287" t="s">
        <v>72</v>
      </c>
      <c r="H287" t="s">
        <v>25</v>
      </c>
      <c r="I287">
        <v>546</v>
      </c>
      <c r="J287">
        <v>49</v>
      </c>
      <c r="K287">
        <v>26754</v>
      </c>
      <c r="L287" t="s">
        <v>65</v>
      </c>
      <c r="M287" t="s">
        <v>51</v>
      </c>
      <c r="N287">
        <v>34</v>
      </c>
      <c r="O287" t="s">
        <v>28</v>
      </c>
      <c r="P287" t="s">
        <v>45</v>
      </c>
      <c r="Q287" t="s">
        <v>68</v>
      </c>
      <c r="R287" t="s">
        <v>98</v>
      </c>
      <c r="S287">
        <v>22.572600000000001</v>
      </c>
      <c r="T287">
        <v>88.363900000000001</v>
      </c>
    </row>
    <row r="288" spans="1:20" x14ac:dyDescent="0.25">
      <c r="A288" t="s">
        <v>348</v>
      </c>
      <c r="B288" s="1">
        <v>45578</v>
      </c>
      <c r="C288" s="1">
        <v>45596</v>
      </c>
      <c r="D288" t="s">
        <v>129</v>
      </c>
      <c r="E288" t="s">
        <v>103</v>
      </c>
      <c r="F288" t="s">
        <v>33</v>
      </c>
      <c r="G288" t="s">
        <v>43</v>
      </c>
      <c r="H288" t="s">
        <v>104</v>
      </c>
      <c r="I288">
        <v>1139</v>
      </c>
      <c r="J288">
        <v>44</v>
      </c>
      <c r="K288">
        <v>50116</v>
      </c>
      <c r="L288" t="s">
        <v>26</v>
      </c>
      <c r="M288" t="s">
        <v>27</v>
      </c>
      <c r="N288">
        <v>31</v>
      </c>
      <c r="O288" t="s">
        <v>52</v>
      </c>
      <c r="P288" t="s">
        <v>29</v>
      </c>
      <c r="Q288" t="s">
        <v>46</v>
      </c>
      <c r="R288" t="s">
        <v>47</v>
      </c>
      <c r="S288">
        <v>22.3569</v>
      </c>
      <c r="T288">
        <v>91.783199999999994</v>
      </c>
    </row>
    <row r="289" spans="1:20" x14ac:dyDescent="0.25">
      <c r="A289" t="s">
        <v>349</v>
      </c>
      <c r="B289" s="1">
        <v>45579</v>
      </c>
      <c r="C289" s="1">
        <v>45596</v>
      </c>
      <c r="D289" t="s">
        <v>56</v>
      </c>
      <c r="E289" t="s">
        <v>57</v>
      </c>
      <c r="F289" t="s">
        <v>23</v>
      </c>
      <c r="G289" t="s">
        <v>34</v>
      </c>
      <c r="H289" t="s">
        <v>25</v>
      </c>
      <c r="I289">
        <v>1816</v>
      </c>
      <c r="J289">
        <v>84</v>
      </c>
      <c r="K289">
        <v>152544</v>
      </c>
      <c r="L289" t="s">
        <v>26</v>
      </c>
      <c r="M289" t="s">
        <v>27</v>
      </c>
      <c r="N289">
        <v>41</v>
      </c>
      <c r="O289" t="s">
        <v>28</v>
      </c>
      <c r="P289" t="s">
        <v>29</v>
      </c>
      <c r="Q289" t="s">
        <v>53</v>
      </c>
      <c r="R289" t="s">
        <v>100</v>
      </c>
      <c r="S289">
        <v>39.933399999999999</v>
      </c>
      <c r="T289">
        <v>32.859699999999997</v>
      </c>
    </row>
    <row r="290" spans="1:20" x14ac:dyDescent="0.25">
      <c r="A290" t="s">
        <v>350</v>
      </c>
      <c r="B290" s="1">
        <v>45580</v>
      </c>
      <c r="C290" s="1">
        <v>45596</v>
      </c>
      <c r="D290" t="s">
        <v>80</v>
      </c>
      <c r="E290" t="s">
        <v>42</v>
      </c>
      <c r="F290" t="s">
        <v>71</v>
      </c>
      <c r="G290" t="s">
        <v>43</v>
      </c>
      <c r="H290" t="s">
        <v>25</v>
      </c>
      <c r="I290">
        <v>571</v>
      </c>
      <c r="J290">
        <v>73</v>
      </c>
      <c r="K290">
        <v>41683</v>
      </c>
      <c r="L290" t="s">
        <v>26</v>
      </c>
      <c r="M290" t="s">
        <v>51</v>
      </c>
      <c r="N290">
        <v>59</v>
      </c>
      <c r="O290" t="s">
        <v>66</v>
      </c>
      <c r="P290" t="s">
        <v>29</v>
      </c>
      <c r="Q290" t="s">
        <v>46</v>
      </c>
      <c r="R290" t="s">
        <v>118</v>
      </c>
      <c r="S290">
        <v>24.8949</v>
      </c>
      <c r="T290">
        <v>91.868700000000004</v>
      </c>
    </row>
    <row r="291" spans="1:20" x14ac:dyDescent="0.25">
      <c r="A291" t="s">
        <v>351</v>
      </c>
      <c r="B291" s="1">
        <v>45581</v>
      </c>
      <c r="C291" s="1">
        <v>45596</v>
      </c>
      <c r="D291" t="s">
        <v>102</v>
      </c>
      <c r="E291" t="s">
        <v>103</v>
      </c>
      <c r="F291" t="s">
        <v>23</v>
      </c>
      <c r="G291" t="s">
        <v>24</v>
      </c>
      <c r="H291" t="s">
        <v>104</v>
      </c>
      <c r="I291">
        <v>1013</v>
      </c>
      <c r="J291">
        <v>36</v>
      </c>
      <c r="K291">
        <v>36468</v>
      </c>
      <c r="L291" t="s">
        <v>65</v>
      </c>
      <c r="M291" t="s">
        <v>51</v>
      </c>
      <c r="N291">
        <v>42</v>
      </c>
      <c r="O291" t="s">
        <v>59</v>
      </c>
      <c r="P291" t="s">
        <v>45</v>
      </c>
      <c r="Q291" t="s">
        <v>53</v>
      </c>
      <c r="R291" t="s">
        <v>62</v>
      </c>
      <c r="S291">
        <v>36.896900000000002</v>
      </c>
      <c r="T291">
        <v>30.7133</v>
      </c>
    </row>
    <row r="292" spans="1:20" x14ac:dyDescent="0.25">
      <c r="A292" t="s">
        <v>352</v>
      </c>
      <c r="B292" s="1">
        <v>45582</v>
      </c>
      <c r="C292" s="1">
        <v>45596</v>
      </c>
      <c r="D292" t="s">
        <v>78</v>
      </c>
      <c r="E292" t="s">
        <v>22</v>
      </c>
      <c r="F292" t="s">
        <v>71</v>
      </c>
      <c r="G292" t="s">
        <v>24</v>
      </c>
      <c r="H292" t="s">
        <v>25</v>
      </c>
      <c r="I292">
        <v>792</v>
      </c>
      <c r="J292">
        <v>4</v>
      </c>
      <c r="K292">
        <v>3168</v>
      </c>
      <c r="L292" t="s">
        <v>26</v>
      </c>
      <c r="M292" t="s">
        <v>51</v>
      </c>
      <c r="N292">
        <v>40</v>
      </c>
      <c r="O292" t="s">
        <v>28</v>
      </c>
      <c r="P292" t="s">
        <v>45</v>
      </c>
      <c r="Q292" t="s">
        <v>46</v>
      </c>
      <c r="R292" t="s">
        <v>60</v>
      </c>
      <c r="S292">
        <v>24.374500000000001</v>
      </c>
      <c r="T292">
        <v>88.604200000000006</v>
      </c>
    </row>
    <row r="293" spans="1:20" x14ac:dyDescent="0.25">
      <c r="A293" t="s">
        <v>353</v>
      </c>
      <c r="B293" s="1">
        <v>45583</v>
      </c>
      <c r="C293" s="1">
        <v>45596</v>
      </c>
      <c r="D293" t="s">
        <v>75</v>
      </c>
      <c r="E293" t="s">
        <v>50</v>
      </c>
      <c r="F293" t="s">
        <v>71</v>
      </c>
      <c r="G293" t="s">
        <v>72</v>
      </c>
      <c r="H293" t="s">
        <v>25</v>
      </c>
      <c r="I293">
        <v>370</v>
      </c>
      <c r="J293">
        <v>8</v>
      </c>
      <c r="K293">
        <v>2960</v>
      </c>
      <c r="L293" t="s">
        <v>26</v>
      </c>
      <c r="M293" t="s">
        <v>36</v>
      </c>
      <c r="N293">
        <v>28</v>
      </c>
      <c r="O293" t="s">
        <v>52</v>
      </c>
      <c r="P293" t="s">
        <v>29</v>
      </c>
      <c r="Q293" t="s">
        <v>53</v>
      </c>
      <c r="R293" t="s">
        <v>94</v>
      </c>
      <c r="S293">
        <v>38.419199999999996</v>
      </c>
      <c r="T293">
        <v>27.128699999999998</v>
      </c>
    </row>
    <row r="294" spans="1:20" x14ac:dyDescent="0.25">
      <c r="A294" t="s">
        <v>283</v>
      </c>
      <c r="B294" s="1">
        <v>45584</v>
      </c>
      <c r="C294" s="1">
        <v>45596</v>
      </c>
      <c r="D294" t="s">
        <v>85</v>
      </c>
      <c r="E294" t="s">
        <v>22</v>
      </c>
      <c r="F294" t="s">
        <v>71</v>
      </c>
      <c r="G294" t="s">
        <v>72</v>
      </c>
      <c r="H294" t="s">
        <v>25</v>
      </c>
      <c r="I294">
        <v>1099</v>
      </c>
      <c r="J294">
        <v>66</v>
      </c>
      <c r="K294">
        <v>72534</v>
      </c>
      <c r="L294" t="s">
        <v>26</v>
      </c>
      <c r="M294" t="s">
        <v>51</v>
      </c>
      <c r="N294">
        <v>27</v>
      </c>
      <c r="O294" t="s">
        <v>52</v>
      </c>
      <c r="P294" t="s">
        <v>29</v>
      </c>
      <c r="Q294" t="s">
        <v>68</v>
      </c>
      <c r="R294" t="s">
        <v>132</v>
      </c>
      <c r="S294">
        <v>13.082700000000001</v>
      </c>
      <c r="T294">
        <v>80.270700000000005</v>
      </c>
    </row>
    <row r="295" spans="1:20" x14ac:dyDescent="0.25">
      <c r="A295" t="s">
        <v>248</v>
      </c>
      <c r="B295" s="1">
        <v>45585</v>
      </c>
      <c r="C295" s="1">
        <v>45596</v>
      </c>
      <c r="D295" t="s">
        <v>116</v>
      </c>
      <c r="E295" t="s">
        <v>57</v>
      </c>
      <c r="F295" t="s">
        <v>33</v>
      </c>
      <c r="G295" t="s">
        <v>58</v>
      </c>
      <c r="H295" t="s">
        <v>25</v>
      </c>
      <c r="I295">
        <v>1248</v>
      </c>
      <c r="J295">
        <v>26</v>
      </c>
      <c r="K295">
        <v>32448</v>
      </c>
      <c r="L295" t="s">
        <v>26</v>
      </c>
      <c r="M295" t="s">
        <v>27</v>
      </c>
      <c r="N295">
        <v>56</v>
      </c>
      <c r="O295" t="s">
        <v>37</v>
      </c>
      <c r="P295" t="s">
        <v>38</v>
      </c>
      <c r="Q295" t="s">
        <v>68</v>
      </c>
      <c r="R295" t="s">
        <v>121</v>
      </c>
      <c r="S295">
        <v>12.9716</v>
      </c>
      <c r="T295">
        <v>77.5946</v>
      </c>
    </row>
    <row r="296" spans="1:20" x14ac:dyDescent="0.25">
      <c r="A296" t="s">
        <v>354</v>
      </c>
      <c r="B296" s="1">
        <v>45586</v>
      </c>
      <c r="C296" s="1">
        <v>45596</v>
      </c>
      <c r="D296" t="s">
        <v>146</v>
      </c>
      <c r="E296" t="s">
        <v>57</v>
      </c>
      <c r="F296" t="s">
        <v>23</v>
      </c>
      <c r="G296" t="s">
        <v>72</v>
      </c>
      <c r="H296" t="s">
        <v>25</v>
      </c>
      <c r="I296">
        <v>470</v>
      </c>
      <c r="J296">
        <v>23</v>
      </c>
      <c r="K296">
        <v>10810</v>
      </c>
      <c r="L296" t="s">
        <v>65</v>
      </c>
      <c r="M296" t="s">
        <v>36</v>
      </c>
      <c r="N296">
        <v>51</v>
      </c>
      <c r="O296" t="s">
        <v>37</v>
      </c>
      <c r="P296" t="s">
        <v>29</v>
      </c>
      <c r="Q296" t="s">
        <v>68</v>
      </c>
      <c r="R296" t="s">
        <v>132</v>
      </c>
      <c r="S296">
        <v>13.082700000000001</v>
      </c>
      <c r="T296">
        <v>80.270700000000005</v>
      </c>
    </row>
    <row r="297" spans="1:20" x14ac:dyDescent="0.25">
      <c r="A297" t="s">
        <v>355</v>
      </c>
      <c r="B297" s="1">
        <v>45587</v>
      </c>
      <c r="C297" s="1">
        <v>45596</v>
      </c>
      <c r="D297" t="s">
        <v>102</v>
      </c>
      <c r="E297" t="s">
        <v>103</v>
      </c>
      <c r="F297" t="s">
        <v>23</v>
      </c>
      <c r="G297" t="s">
        <v>72</v>
      </c>
      <c r="H297" t="s">
        <v>104</v>
      </c>
      <c r="I297">
        <v>1053</v>
      </c>
      <c r="J297">
        <v>65</v>
      </c>
      <c r="K297">
        <v>68445</v>
      </c>
      <c r="L297" t="s">
        <v>26</v>
      </c>
      <c r="M297" t="s">
        <v>44</v>
      </c>
      <c r="N297">
        <v>59</v>
      </c>
      <c r="O297" t="s">
        <v>66</v>
      </c>
      <c r="P297" t="s">
        <v>29</v>
      </c>
      <c r="Q297" t="s">
        <v>68</v>
      </c>
      <c r="R297" t="s">
        <v>88</v>
      </c>
      <c r="S297">
        <v>17.385000000000002</v>
      </c>
      <c r="T297">
        <v>78.486699999999999</v>
      </c>
    </row>
    <row r="298" spans="1:20" x14ac:dyDescent="0.25">
      <c r="A298" t="s">
        <v>356</v>
      </c>
      <c r="B298" s="1">
        <v>45588</v>
      </c>
      <c r="C298" s="1">
        <v>45596</v>
      </c>
      <c r="D298" t="s">
        <v>131</v>
      </c>
      <c r="E298" t="s">
        <v>103</v>
      </c>
      <c r="F298" t="s">
        <v>71</v>
      </c>
      <c r="G298" t="s">
        <v>58</v>
      </c>
      <c r="H298" t="s">
        <v>104</v>
      </c>
      <c r="I298">
        <v>809</v>
      </c>
      <c r="J298">
        <v>72</v>
      </c>
      <c r="K298">
        <v>58248</v>
      </c>
      <c r="L298" t="s">
        <v>26</v>
      </c>
      <c r="M298" t="s">
        <v>51</v>
      </c>
      <c r="N298">
        <v>41</v>
      </c>
      <c r="O298" t="s">
        <v>28</v>
      </c>
      <c r="P298" t="s">
        <v>45</v>
      </c>
      <c r="Q298" t="s">
        <v>46</v>
      </c>
      <c r="R298" t="s">
        <v>118</v>
      </c>
      <c r="S298">
        <v>24.8949</v>
      </c>
      <c r="T298">
        <v>91.868700000000004</v>
      </c>
    </row>
    <row r="299" spans="1:20" x14ac:dyDescent="0.25">
      <c r="A299" t="s">
        <v>122</v>
      </c>
      <c r="B299" s="1">
        <v>45589</v>
      </c>
      <c r="C299" s="1">
        <v>45596</v>
      </c>
      <c r="D299" t="s">
        <v>116</v>
      </c>
      <c r="E299" t="s">
        <v>57</v>
      </c>
      <c r="F299" t="s">
        <v>23</v>
      </c>
      <c r="G299" t="s">
        <v>43</v>
      </c>
      <c r="H299" t="s">
        <v>25</v>
      </c>
      <c r="I299">
        <v>1269</v>
      </c>
      <c r="J299">
        <v>78</v>
      </c>
      <c r="K299">
        <v>98982</v>
      </c>
      <c r="L299" t="s">
        <v>35</v>
      </c>
      <c r="M299" t="s">
        <v>27</v>
      </c>
      <c r="N299">
        <v>47</v>
      </c>
      <c r="O299" t="s">
        <v>59</v>
      </c>
      <c r="P299" t="s">
        <v>45</v>
      </c>
      <c r="Q299" t="s">
        <v>68</v>
      </c>
      <c r="R299" t="s">
        <v>69</v>
      </c>
      <c r="S299">
        <v>18.520399999999999</v>
      </c>
      <c r="T299">
        <v>73.856700000000004</v>
      </c>
    </row>
    <row r="300" spans="1:20" x14ac:dyDescent="0.25">
      <c r="A300" t="s">
        <v>357</v>
      </c>
      <c r="B300" s="1">
        <v>45590</v>
      </c>
      <c r="C300" s="1">
        <v>45596</v>
      </c>
      <c r="D300" t="s">
        <v>41</v>
      </c>
      <c r="E300" t="s">
        <v>42</v>
      </c>
      <c r="F300" t="s">
        <v>71</v>
      </c>
      <c r="G300" t="s">
        <v>58</v>
      </c>
      <c r="H300" t="s">
        <v>25</v>
      </c>
      <c r="I300">
        <v>601</v>
      </c>
      <c r="J300">
        <v>78</v>
      </c>
      <c r="K300">
        <v>46878</v>
      </c>
      <c r="L300" t="s">
        <v>65</v>
      </c>
      <c r="M300" t="s">
        <v>51</v>
      </c>
      <c r="N300">
        <v>51</v>
      </c>
      <c r="O300" t="s">
        <v>37</v>
      </c>
      <c r="P300" t="s">
        <v>29</v>
      </c>
      <c r="Q300" t="s">
        <v>46</v>
      </c>
      <c r="R300" t="s">
        <v>47</v>
      </c>
      <c r="S300">
        <v>22.3569</v>
      </c>
      <c r="T300">
        <v>91.783199999999994</v>
      </c>
    </row>
    <row r="301" spans="1:20" x14ac:dyDescent="0.25">
      <c r="A301" t="s">
        <v>358</v>
      </c>
      <c r="B301" s="1">
        <v>45591</v>
      </c>
      <c r="C301" s="1">
        <v>45596</v>
      </c>
      <c r="D301" t="s">
        <v>96</v>
      </c>
      <c r="E301" t="s">
        <v>42</v>
      </c>
      <c r="F301" t="s">
        <v>33</v>
      </c>
      <c r="G301" t="s">
        <v>72</v>
      </c>
      <c r="H301" t="s">
        <v>25</v>
      </c>
      <c r="I301">
        <v>854</v>
      </c>
      <c r="J301">
        <v>75</v>
      </c>
      <c r="K301">
        <v>64050</v>
      </c>
      <c r="L301" t="s">
        <v>26</v>
      </c>
      <c r="M301" t="s">
        <v>27</v>
      </c>
      <c r="N301">
        <v>63</v>
      </c>
      <c r="O301" t="s">
        <v>66</v>
      </c>
      <c r="P301" t="s">
        <v>29</v>
      </c>
      <c r="Q301" t="s">
        <v>53</v>
      </c>
      <c r="R301" t="s">
        <v>73</v>
      </c>
      <c r="S301">
        <v>41.008200000000002</v>
      </c>
      <c r="T301">
        <v>28.978400000000001</v>
      </c>
    </row>
    <row r="302" spans="1:20" x14ac:dyDescent="0.25">
      <c r="A302" t="s">
        <v>359</v>
      </c>
      <c r="B302" s="1">
        <v>45592</v>
      </c>
      <c r="C302" s="1">
        <v>45596</v>
      </c>
      <c r="D302" t="s">
        <v>75</v>
      </c>
      <c r="E302" t="s">
        <v>50</v>
      </c>
      <c r="F302" t="s">
        <v>33</v>
      </c>
      <c r="G302" t="s">
        <v>72</v>
      </c>
      <c r="H302" t="s">
        <v>25</v>
      </c>
      <c r="I302">
        <v>350</v>
      </c>
      <c r="J302">
        <v>11</v>
      </c>
      <c r="K302">
        <v>3850</v>
      </c>
      <c r="L302" t="s">
        <v>65</v>
      </c>
      <c r="M302" t="s">
        <v>27</v>
      </c>
      <c r="N302">
        <v>43</v>
      </c>
      <c r="O302" t="s">
        <v>59</v>
      </c>
      <c r="P302" t="s">
        <v>45</v>
      </c>
      <c r="Q302" t="s">
        <v>68</v>
      </c>
      <c r="R302" t="s">
        <v>170</v>
      </c>
      <c r="S302">
        <v>23.022500000000001</v>
      </c>
      <c r="T302">
        <v>72.571399999999997</v>
      </c>
    </row>
    <row r="303" spans="1:20" x14ac:dyDescent="0.25">
      <c r="A303" t="s">
        <v>165</v>
      </c>
      <c r="B303" s="1">
        <v>45593</v>
      </c>
      <c r="C303" s="1">
        <v>45596</v>
      </c>
      <c r="D303" t="s">
        <v>75</v>
      </c>
      <c r="E303" t="s">
        <v>50</v>
      </c>
      <c r="F303" t="s">
        <v>33</v>
      </c>
      <c r="G303" t="s">
        <v>24</v>
      </c>
      <c r="H303" t="s">
        <v>25</v>
      </c>
      <c r="I303">
        <v>351</v>
      </c>
      <c r="J303">
        <v>19</v>
      </c>
      <c r="K303">
        <v>6669</v>
      </c>
      <c r="L303" t="s">
        <v>35</v>
      </c>
      <c r="M303" t="s">
        <v>36</v>
      </c>
      <c r="N303">
        <v>41</v>
      </c>
      <c r="O303" t="s">
        <v>28</v>
      </c>
      <c r="P303" t="s">
        <v>45</v>
      </c>
      <c r="Q303" t="s">
        <v>68</v>
      </c>
      <c r="R303" t="s">
        <v>91</v>
      </c>
      <c r="S303">
        <v>26.912400000000002</v>
      </c>
      <c r="T303">
        <v>75.787300000000002</v>
      </c>
    </row>
    <row r="304" spans="1:20" x14ac:dyDescent="0.25">
      <c r="A304" t="s">
        <v>360</v>
      </c>
      <c r="B304" s="1">
        <v>45594</v>
      </c>
      <c r="C304" s="1">
        <v>45596</v>
      </c>
      <c r="D304" t="s">
        <v>131</v>
      </c>
      <c r="E304" t="s">
        <v>103</v>
      </c>
      <c r="F304" t="s">
        <v>23</v>
      </c>
      <c r="G304" t="s">
        <v>34</v>
      </c>
      <c r="H304" t="s">
        <v>104</v>
      </c>
      <c r="I304">
        <v>822</v>
      </c>
      <c r="J304">
        <v>9</v>
      </c>
      <c r="K304">
        <v>7398</v>
      </c>
      <c r="L304" t="s">
        <v>65</v>
      </c>
      <c r="M304" t="s">
        <v>36</v>
      </c>
      <c r="N304">
        <v>56</v>
      </c>
      <c r="O304" t="s">
        <v>37</v>
      </c>
      <c r="P304" t="s">
        <v>45</v>
      </c>
      <c r="Q304" t="s">
        <v>53</v>
      </c>
      <c r="R304" t="s">
        <v>94</v>
      </c>
      <c r="S304">
        <v>38.419199999999996</v>
      </c>
      <c r="T304">
        <v>27.128699999999998</v>
      </c>
    </row>
    <row r="305" spans="1:20" x14ac:dyDescent="0.25">
      <c r="A305" t="s">
        <v>77</v>
      </c>
      <c r="B305" s="1">
        <v>45595</v>
      </c>
      <c r="C305" s="1">
        <v>45596</v>
      </c>
      <c r="D305" t="s">
        <v>78</v>
      </c>
      <c r="E305" t="s">
        <v>22</v>
      </c>
      <c r="F305" t="s">
        <v>23</v>
      </c>
      <c r="G305" t="s">
        <v>72</v>
      </c>
      <c r="H305" t="s">
        <v>25</v>
      </c>
      <c r="I305">
        <v>704</v>
      </c>
      <c r="J305">
        <v>82</v>
      </c>
      <c r="K305">
        <v>57728</v>
      </c>
      <c r="L305" t="s">
        <v>26</v>
      </c>
      <c r="M305" t="s">
        <v>44</v>
      </c>
      <c r="N305">
        <v>48</v>
      </c>
      <c r="O305" t="s">
        <v>59</v>
      </c>
      <c r="P305" t="s">
        <v>38</v>
      </c>
      <c r="Q305" t="s">
        <v>53</v>
      </c>
      <c r="R305" t="s">
        <v>62</v>
      </c>
      <c r="S305">
        <v>36.896900000000002</v>
      </c>
      <c r="T305">
        <v>30.7133</v>
      </c>
    </row>
    <row r="306" spans="1:20" x14ac:dyDescent="0.25">
      <c r="A306" t="s">
        <v>106</v>
      </c>
      <c r="B306" s="1">
        <v>45596</v>
      </c>
      <c r="C306" s="1">
        <v>45596</v>
      </c>
      <c r="D306" t="s">
        <v>80</v>
      </c>
      <c r="E306" t="s">
        <v>42</v>
      </c>
      <c r="F306" t="s">
        <v>71</v>
      </c>
      <c r="G306" t="s">
        <v>43</v>
      </c>
      <c r="H306" t="s">
        <v>25</v>
      </c>
      <c r="I306">
        <v>567</v>
      </c>
      <c r="J306">
        <v>92</v>
      </c>
      <c r="K306">
        <v>52164</v>
      </c>
      <c r="L306" t="s">
        <v>26</v>
      </c>
      <c r="M306" t="s">
        <v>36</v>
      </c>
      <c r="N306">
        <v>31</v>
      </c>
      <c r="O306" t="s">
        <v>52</v>
      </c>
      <c r="P306" t="s">
        <v>29</v>
      </c>
      <c r="Q306" t="s">
        <v>53</v>
      </c>
      <c r="R306" t="s">
        <v>54</v>
      </c>
      <c r="S306">
        <v>40.1828</v>
      </c>
      <c r="T306">
        <v>29.066500000000001</v>
      </c>
    </row>
    <row r="307" spans="1:20" x14ac:dyDescent="0.25">
      <c r="A307" t="s">
        <v>361</v>
      </c>
      <c r="B307" s="1">
        <v>45597</v>
      </c>
      <c r="C307" s="1">
        <v>45626</v>
      </c>
      <c r="D307" t="s">
        <v>126</v>
      </c>
      <c r="E307" t="s">
        <v>103</v>
      </c>
      <c r="F307" t="s">
        <v>71</v>
      </c>
      <c r="G307" t="s">
        <v>43</v>
      </c>
      <c r="H307" t="s">
        <v>104</v>
      </c>
      <c r="I307">
        <v>829</v>
      </c>
      <c r="J307">
        <v>48</v>
      </c>
      <c r="K307">
        <v>39792</v>
      </c>
      <c r="L307" t="s">
        <v>26</v>
      </c>
      <c r="M307" t="s">
        <v>44</v>
      </c>
      <c r="N307">
        <v>43</v>
      </c>
      <c r="O307" t="s">
        <v>59</v>
      </c>
      <c r="P307" t="s">
        <v>29</v>
      </c>
      <c r="Q307" t="s">
        <v>53</v>
      </c>
      <c r="R307" t="s">
        <v>94</v>
      </c>
      <c r="S307">
        <v>38.419199999999996</v>
      </c>
      <c r="T307">
        <v>27.128699999999998</v>
      </c>
    </row>
    <row r="308" spans="1:20" x14ac:dyDescent="0.25">
      <c r="A308" t="s">
        <v>232</v>
      </c>
      <c r="B308" s="1">
        <v>45598</v>
      </c>
      <c r="C308" s="1">
        <v>45626</v>
      </c>
      <c r="D308" t="s">
        <v>102</v>
      </c>
      <c r="E308" t="s">
        <v>103</v>
      </c>
      <c r="F308" t="s">
        <v>71</v>
      </c>
      <c r="G308" t="s">
        <v>72</v>
      </c>
      <c r="H308" t="s">
        <v>104</v>
      </c>
      <c r="I308">
        <v>1082</v>
      </c>
      <c r="J308">
        <v>54</v>
      </c>
      <c r="K308">
        <v>58428</v>
      </c>
      <c r="L308" t="s">
        <v>26</v>
      </c>
      <c r="M308" t="s">
        <v>51</v>
      </c>
      <c r="N308">
        <v>20</v>
      </c>
      <c r="O308" t="s">
        <v>87</v>
      </c>
      <c r="P308" t="s">
        <v>29</v>
      </c>
      <c r="Q308" t="s">
        <v>68</v>
      </c>
      <c r="R308" t="s">
        <v>195</v>
      </c>
      <c r="S308">
        <v>19.076000000000001</v>
      </c>
      <c r="T308">
        <v>72.877700000000004</v>
      </c>
    </row>
    <row r="309" spans="1:20" x14ac:dyDescent="0.25">
      <c r="A309" t="s">
        <v>362</v>
      </c>
      <c r="B309" s="1">
        <v>45599</v>
      </c>
      <c r="C309" s="1">
        <v>45626</v>
      </c>
      <c r="D309" t="s">
        <v>146</v>
      </c>
      <c r="E309" t="s">
        <v>57</v>
      </c>
      <c r="F309" t="s">
        <v>33</v>
      </c>
      <c r="G309" t="s">
        <v>58</v>
      </c>
      <c r="H309" t="s">
        <v>25</v>
      </c>
      <c r="I309">
        <v>490</v>
      </c>
      <c r="J309">
        <v>27</v>
      </c>
      <c r="K309">
        <v>13230</v>
      </c>
      <c r="L309" t="s">
        <v>26</v>
      </c>
      <c r="M309" t="s">
        <v>27</v>
      </c>
      <c r="N309">
        <v>37</v>
      </c>
      <c r="O309" t="s">
        <v>28</v>
      </c>
      <c r="P309" t="s">
        <v>29</v>
      </c>
      <c r="Q309" t="s">
        <v>68</v>
      </c>
      <c r="R309" t="s">
        <v>132</v>
      </c>
      <c r="S309">
        <v>13.082700000000001</v>
      </c>
      <c r="T309">
        <v>80.270700000000005</v>
      </c>
    </row>
    <row r="310" spans="1:20" x14ac:dyDescent="0.25">
      <c r="A310" s="2" t="s">
        <v>133</v>
      </c>
      <c r="B310" s="1">
        <v>45600</v>
      </c>
      <c r="C310" s="1">
        <v>45626</v>
      </c>
      <c r="D310" t="s">
        <v>75</v>
      </c>
      <c r="E310" t="s">
        <v>50</v>
      </c>
      <c r="F310" t="s">
        <v>71</v>
      </c>
      <c r="G310" t="s">
        <v>58</v>
      </c>
      <c r="H310" t="s">
        <v>25</v>
      </c>
      <c r="I310">
        <v>358</v>
      </c>
      <c r="J310">
        <v>5</v>
      </c>
      <c r="K310">
        <v>1790</v>
      </c>
      <c r="L310" t="s">
        <v>65</v>
      </c>
      <c r="M310" t="s">
        <v>27</v>
      </c>
      <c r="N310">
        <v>46</v>
      </c>
      <c r="O310" t="s">
        <v>59</v>
      </c>
      <c r="P310" t="s">
        <v>29</v>
      </c>
      <c r="Q310" t="s">
        <v>53</v>
      </c>
      <c r="R310" t="s">
        <v>94</v>
      </c>
      <c r="S310">
        <v>38.419199999999996</v>
      </c>
      <c r="T310">
        <v>27.128699999999998</v>
      </c>
    </row>
    <row r="311" spans="1:20" x14ac:dyDescent="0.25">
      <c r="A311" t="s">
        <v>128</v>
      </c>
      <c r="B311" s="1">
        <v>45601</v>
      </c>
      <c r="C311" s="1">
        <v>45626</v>
      </c>
      <c r="D311" t="s">
        <v>129</v>
      </c>
      <c r="E311" t="s">
        <v>103</v>
      </c>
      <c r="F311" t="s">
        <v>71</v>
      </c>
      <c r="G311" t="s">
        <v>34</v>
      </c>
      <c r="H311" t="s">
        <v>104</v>
      </c>
      <c r="I311">
        <v>1134</v>
      </c>
      <c r="J311">
        <v>54</v>
      </c>
      <c r="K311">
        <v>61236</v>
      </c>
      <c r="L311" t="s">
        <v>26</v>
      </c>
      <c r="M311" t="s">
        <v>44</v>
      </c>
      <c r="N311">
        <v>27</v>
      </c>
      <c r="O311" t="s">
        <v>52</v>
      </c>
      <c r="P311" t="s">
        <v>29</v>
      </c>
      <c r="Q311" t="s">
        <v>53</v>
      </c>
      <c r="R311" t="s">
        <v>54</v>
      </c>
      <c r="S311">
        <v>40.1828</v>
      </c>
      <c r="T311">
        <v>29.066500000000001</v>
      </c>
    </row>
    <row r="312" spans="1:20" x14ac:dyDescent="0.25">
      <c r="A312" t="s">
        <v>363</v>
      </c>
      <c r="B312" s="1">
        <v>45602</v>
      </c>
      <c r="C312" s="1">
        <v>45626</v>
      </c>
      <c r="D312" t="s">
        <v>85</v>
      </c>
      <c r="E312" t="s">
        <v>22</v>
      </c>
      <c r="F312" t="s">
        <v>71</v>
      </c>
      <c r="G312" t="s">
        <v>34</v>
      </c>
      <c r="H312" t="s">
        <v>25</v>
      </c>
      <c r="I312">
        <v>1000</v>
      </c>
      <c r="J312">
        <v>5</v>
      </c>
      <c r="K312">
        <v>5000</v>
      </c>
      <c r="L312" t="s">
        <v>65</v>
      </c>
      <c r="M312" t="s">
        <v>44</v>
      </c>
      <c r="N312">
        <v>54</v>
      </c>
      <c r="O312" t="s">
        <v>37</v>
      </c>
      <c r="P312" t="s">
        <v>45</v>
      </c>
      <c r="Q312" t="s">
        <v>53</v>
      </c>
      <c r="R312" t="s">
        <v>73</v>
      </c>
      <c r="S312">
        <v>41.008200000000002</v>
      </c>
      <c r="T312">
        <v>28.978400000000001</v>
      </c>
    </row>
    <row r="313" spans="1:20" x14ac:dyDescent="0.25">
      <c r="A313" t="s">
        <v>364</v>
      </c>
      <c r="B313" s="1">
        <v>45603</v>
      </c>
      <c r="C313" s="1">
        <v>45626</v>
      </c>
      <c r="D313" t="s">
        <v>64</v>
      </c>
      <c r="E313" t="s">
        <v>50</v>
      </c>
      <c r="F313" t="s">
        <v>71</v>
      </c>
      <c r="G313" t="s">
        <v>58</v>
      </c>
      <c r="H313" t="s">
        <v>25</v>
      </c>
      <c r="I313">
        <v>841</v>
      </c>
      <c r="J313">
        <v>61</v>
      </c>
      <c r="K313">
        <v>51301</v>
      </c>
      <c r="L313" t="s">
        <v>26</v>
      </c>
      <c r="M313" t="s">
        <v>44</v>
      </c>
      <c r="N313">
        <v>47</v>
      </c>
      <c r="O313" t="s">
        <v>59</v>
      </c>
      <c r="P313" t="s">
        <v>45</v>
      </c>
      <c r="Q313" t="s">
        <v>53</v>
      </c>
      <c r="R313" t="s">
        <v>62</v>
      </c>
      <c r="S313">
        <v>36.896900000000002</v>
      </c>
      <c r="T313">
        <v>30.7133</v>
      </c>
    </row>
    <row r="314" spans="1:20" x14ac:dyDescent="0.25">
      <c r="A314" t="s">
        <v>365</v>
      </c>
      <c r="B314" s="1">
        <v>45604</v>
      </c>
      <c r="C314" s="1">
        <v>45626</v>
      </c>
      <c r="D314" t="s">
        <v>131</v>
      </c>
      <c r="E314" t="s">
        <v>103</v>
      </c>
      <c r="F314" t="s">
        <v>23</v>
      </c>
      <c r="G314" t="s">
        <v>34</v>
      </c>
      <c r="H314" t="s">
        <v>104</v>
      </c>
      <c r="I314">
        <v>896</v>
      </c>
      <c r="J314">
        <v>83</v>
      </c>
      <c r="K314">
        <v>74368</v>
      </c>
      <c r="L314" t="s">
        <v>26</v>
      </c>
      <c r="M314" t="s">
        <v>44</v>
      </c>
      <c r="N314">
        <v>54</v>
      </c>
      <c r="O314" t="s">
        <v>37</v>
      </c>
      <c r="P314" t="s">
        <v>29</v>
      </c>
      <c r="Q314" t="s">
        <v>68</v>
      </c>
      <c r="R314" t="s">
        <v>132</v>
      </c>
      <c r="S314">
        <v>13.082700000000001</v>
      </c>
      <c r="T314">
        <v>80.270700000000005</v>
      </c>
    </row>
    <row r="315" spans="1:20" x14ac:dyDescent="0.25">
      <c r="A315" t="s">
        <v>366</v>
      </c>
      <c r="B315" s="1">
        <v>45605</v>
      </c>
      <c r="C315" s="1">
        <v>45626</v>
      </c>
      <c r="D315" t="s">
        <v>146</v>
      </c>
      <c r="E315" t="s">
        <v>57</v>
      </c>
      <c r="F315" t="s">
        <v>33</v>
      </c>
      <c r="G315" t="s">
        <v>58</v>
      </c>
      <c r="H315" t="s">
        <v>25</v>
      </c>
      <c r="I315">
        <v>458</v>
      </c>
      <c r="J315">
        <v>49</v>
      </c>
      <c r="K315">
        <v>22442</v>
      </c>
      <c r="L315" t="s">
        <v>65</v>
      </c>
      <c r="M315" t="s">
        <v>51</v>
      </c>
      <c r="N315">
        <v>29</v>
      </c>
      <c r="O315" t="s">
        <v>52</v>
      </c>
      <c r="P315" t="s">
        <v>29</v>
      </c>
      <c r="Q315" t="s">
        <v>53</v>
      </c>
      <c r="R315" t="s">
        <v>62</v>
      </c>
      <c r="S315">
        <v>36.896900000000002</v>
      </c>
      <c r="T315">
        <v>30.7133</v>
      </c>
    </row>
    <row r="316" spans="1:20" x14ac:dyDescent="0.25">
      <c r="A316" t="s">
        <v>367</v>
      </c>
      <c r="B316" s="1">
        <v>45606</v>
      </c>
      <c r="C316" s="1">
        <v>45626</v>
      </c>
      <c r="D316" t="s">
        <v>41</v>
      </c>
      <c r="E316" t="s">
        <v>42</v>
      </c>
      <c r="F316" t="s">
        <v>71</v>
      </c>
      <c r="G316" t="s">
        <v>34</v>
      </c>
      <c r="H316" t="s">
        <v>25</v>
      </c>
      <c r="I316">
        <v>643</v>
      </c>
      <c r="J316">
        <v>81</v>
      </c>
      <c r="K316">
        <v>52083</v>
      </c>
      <c r="L316" t="s">
        <v>65</v>
      </c>
      <c r="M316" t="s">
        <v>27</v>
      </c>
      <c r="N316">
        <v>31</v>
      </c>
      <c r="O316" t="s">
        <v>52</v>
      </c>
      <c r="P316" t="s">
        <v>29</v>
      </c>
      <c r="Q316" t="s">
        <v>68</v>
      </c>
      <c r="R316" t="s">
        <v>91</v>
      </c>
      <c r="S316">
        <v>26.912400000000002</v>
      </c>
      <c r="T316">
        <v>75.787300000000002</v>
      </c>
    </row>
    <row r="317" spans="1:20" x14ac:dyDescent="0.25">
      <c r="A317" t="s">
        <v>368</v>
      </c>
      <c r="B317" s="1">
        <v>45607</v>
      </c>
      <c r="C317" s="1">
        <v>45626</v>
      </c>
      <c r="D317" t="s">
        <v>80</v>
      </c>
      <c r="E317" t="s">
        <v>42</v>
      </c>
      <c r="F317" t="s">
        <v>71</v>
      </c>
      <c r="G317" t="s">
        <v>43</v>
      </c>
      <c r="H317" t="s">
        <v>25</v>
      </c>
      <c r="I317">
        <v>543</v>
      </c>
      <c r="J317">
        <v>35</v>
      </c>
      <c r="K317">
        <v>19005</v>
      </c>
      <c r="L317" t="s">
        <v>65</v>
      </c>
      <c r="M317" t="s">
        <v>36</v>
      </c>
      <c r="N317">
        <v>40</v>
      </c>
      <c r="O317" t="s">
        <v>28</v>
      </c>
      <c r="P317" t="s">
        <v>45</v>
      </c>
      <c r="Q317" t="s">
        <v>53</v>
      </c>
      <c r="R317" t="s">
        <v>54</v>
      </c>
      <c r="S317">
        <v>40.1828</v>
      </c>
      <c r="T317">
        <v>29.066500000000001</v>
      </c>
    </row>
    <row r="318" spans="1:20" x14ac:dyDescent="0.25">
      <c r="A318" t="s">
        <v>207</v>
      </c>
      <c r="B318" s="1">
        <v>45608</v>
      </c>
      <c r="C318" s="1">
        <v>45626</v>
      </c>
      <c r="D318" t="s">
        <v>78</v>
      </c>
      <c r="E318" t="s">
        <v>22</v>
      </c>
      <c r="F318" t="s">
        <v>33</v>
      </c>
      <c r="G318" t="s">
        <v>58</v>
      </c>
      <c r="H318" t="s">
        <v>25</v>
      </c>
      <c r="I318">
        <v>725</v>
      </c>
      <c r="J318">
        <v>79</v>
      </c>
      <c r="K318">
        <v>57275</v>
      </c>
      <c r="L318" t="s">
        <v>65</v>
      </c>
      <c r="M318" t="s">
        <v>44</v>
      </c>
      <c r="N318">
        <v>44</v>
      </c>
      <c r="O318" t="s">
        <v>59</v>
      </c>
      <c r="P318" t="s">
        <v>45</v>
      </c>
      <c r="Q318" t="s">
        <v>68</v>
      </c>
      <c r="R318" t="s">
        <v>88</v>
      </c>
      <c r="S318">
        <v>17.385000000000002</v>
      </c>
      <c r="T318">
        <v>78.486699999999999</v>
      </c>
    </row>
    <row r="319" spans="1:20" x14ac:dyDescent="0.25">
      <c r="A319" t="s">
        <v>369</v>
      </c>
      <c r="B319" s="1">
        <v>45609</v>
      </c>
      <c r="C319" s="1">
        <v>45626</v>
      </c>
      <c r="D319" t="s">
        <v>21</v>
      </c>
      <c r="E319" t="s">
        <v>22</v>
      </c>
      <c r="F319" t="s">
        <v>23</v>
      </c>
      <c r="G319" t="s">
        <v>34</v>
      </c>
      <c r="H319" t="s">
        <v>25</v>
      </c>
      <c r="I319">
        <v>503</v>
      </c>
      <c r="J319">
        <v>36</v>
      </c>
      <c r="K319">
        <v>18108</v>
      </c>
      <c r="L319" t="s">
        <v>26</v>
      </c>
      <c r="M319" t="s">
        <v>27</v>
      </c>
      <c r="N319">
        <v>48</v>
      </c>
      <c r="O319" t="s">
        <v>59</v>
      </c>
      <c r="P319" t="s">
        <v>29</v>
      </c>
      <c r="Q319" t="s">
        <v>68</v>
      </c>
      <c r="R319" t="s">
        <v>69</v>
      </c>
      <c r="S319">
        <v>18.520399999999999</v>
      </c>
      <c r="T319">
        <v>73.856700000000004</v>
      </c>
    </row>
    <row r="320" spans="1:20" x14ac:dyDescent="0.25">
      <c r="A320" t="s">
        <v>370</v>
      </c>
      <c r="B320" s="1">
        <v>45610</v>
      </c>
      <c r="C320" s="1">
        <v>45626</v>
      </c>
      <c r="D320" t="s">
        <v>56</v>
      </c>
      <c r="E320" t="s">
        <v>57</v>
      </c>
      <c r="F320" t="s">
        <v>23</v>
      </c>
      <c r="G320" t="s">
        <v>24</v>
      </c>
      <c r="H320" t="s">
        <v>25</v>
      </c>
      <c r="I320">
        <v>1877</v>
      </c>
      <c r="J320">
        <v>66</v>
      </c>
      <c r="K320">
        <v>123882</v>
      </c>
      <c r="L320" t="s">
        <v>65</v>
      </c>
      <c r="M320" t="s">
        <v>51</v>
      </c>
      <c r="N320">
        <v>32</v>
      </c>
      <c r="O320" t="s">
        <v>52</v>
      </c>
      <c r="P320" t="s">
        <v>29</v>
      </c>
      <c r="Q320" t="s">
        <v>68</v>
      </c>
      <c r="R320" t="s">
        <v>91</v>
      </c>
      <c r="S320">
        <v>26.912400000000002</v>
      </c>
      <c r="T320">
        <v>75.787300000000002</v>
      </c>
    </row>
    <row r="321" spans="1:20" x14ac:dyDescent="0.25">
      <c r="A321" t="s">
        <v>115</v>
      </c>
      <c r="B321" s="1">
        <v>45611</v>
      </c>
      <c r="C321" s="1">
        <v>45626</v>
      </c>
      <c r="D321" t="s">
        <v>116</v>
      </c>
      <c r="E321" t="s">
        <v>57</v>
      </c>
      <c r="F321" t="s">
        <v>23</v>
      </c>
      <c r="G321" t="s">
        <v>72</v>
      </c>
      <c r="H321" t="s">
        <v>25</v>
      </c>
      <c r="I321">
        <v>1293</v>
      </c>
      <c r="J321">
        <v>2</v>
      </c>
      <c r="K321">
        <v>2586</v>
      </c>
      <c r="L321" t="s">
        <v>65</v>
      </c>
      <c r="M321" t="s">
        <v>36</v>
      </c>
      <c r="N321">
        <v>36</v>
      </c>
      <c r="O321" t="s">
        <v>28</v>
      </c>
      <c r="P321" t="s">
        <v>45</v>
      </c>
      <c r="Q321" t="s">
        <v>68</v>
      </c>
      <c r="R321" t="s">
        <v>69</v>
      </c>
      <c r="S321">
        <v>18.520399999999999</v>
      </c>
      <c r="T321">
        <v>73.856700000000004</v>
      </c>
    </row>
    <row r="322" spans="1:20" x14ac:dyDescent="0.25">
      <c r="A322" t="s">
        <v>371</v>
      </c>
      <c r="B322" s="1">
        <v>45612</v>
      </c>
      <c r="C322" s="1">
        <v>45626</v>
      </c>
      <c r="D322" t="s">
        <v>131</v>
      </c>
      <c r="E322" t="s">
        <v>103</v>
      </c>
      <c r="F322" t="s">
        <v>23</v>
      </c>
      <c r="G322" t="s">
        <v>72</v>
      </c>
      <c r="H322" t="s">
        <v>104</v>
      </c>
      <c r="I322">
        <v>811</v>
      </c>
      <c r="J322">
        <v>7</v>
      </c>
      <c r="K322">
        <v>5677</v>
      </c>
      <c r="L322" t="s">
        <v>26</v>
      </c>
      <c r="M322" t="s">
        <v>51</v>
      </c>
      <c r="N322">
        <v>30</v>
      </c>
      <c r="O322" t="s">
        <v>52</v>
      </c>
      <c r="P322" t="s">
        <v>29</v>
      </c>
      <c r="Q322" t="s">
        <v>46</v>
      </c>
      <c r="R322" t="s">
        <v>47</v>
      </c>
      <c r="S322">
        <v>22.3569</v>
      </c>
      <c r="T322">
        <v>91.783199999999994</v>
      </c>
    </row>
    <row r="323" spans="1:20" x14ac:dyDescent="0.25">
      <c r="A323" t="s">
        <v>193</v>
      </c>
      <c r="B323" s="1">
        <v>45613</v>
      </c>
      <c r="C323" s="1">
        <v>45626</v>
      </c>
      <c r="D323" t="s">
        <v>96</v>
      </c>
      <c r="E323" t="s">
        <v>42</v>
      </c>
      <c r="F323" t="s">
        <v>71</v>
      </c>
      <c r="G323" t="s">
        <v>24</v>
      </c>
      <c r="H323" t="s">
        <v>25</v>
      </c>
      <c r="I323">
        <v>875</v>
      </c>
      <c r="J323">
        <v>80</v>
      </c>
      <c r="K323">
        <v>70000</v>
      </c>
      <c r="L323" t="s">
        <v>26</v>
      </c>
      <c r="M323" t="s">
        <v>51</v>
      </c>
      <c r="N323">
        <v>60</v>
      </c>
      <c r="O323" t="s">
        <v>66</v>
      </c>
      <c r="P323" t="s">
        <v>29</v>
      </c>
      <c r="Q323" t="s">
        <v>53</v>
      </c>
      <c r="R323" t="s">
        <v>94</v>
      </c>
      <c r="S323">
        <v>38.419199999999996</v>
      </c>
      <c r="T323">
        <v>27.128699999999998</v>
      </c>
    </row>
    <row r="324" spans="1:20" x14ac:dyDescent="0.25">
      <c r="A324" t="s">
        <v>361</v>
      </c>
      <c r="B324" s="1">
        <v>45614</v>
      </c>
      <c r="C324" s="1">
        <v>45626</v>
      </c>
      <c r="D324" t="s">
        <v>126</v>
      </c>
      <c r="E324" t="s">
        <v>103</v>
      </c>
      <c r="F324" t="s">
        <v>71</v>
      </c>
      <c r="G324" t="s">
        <v>43</v>
      </c>
      <c r="H324" t="s">
        <v>104</v>
      </c>
      <c r="I324">
        <v>829</v>
      </c>
      <c r="J324">
        <v>48</v>
      </c>
      <c r="K324">
        <v>39792</v>
      </c>
      <c r="L324" t="s">
        <v>26</v>
      </c>
      <c r="M324" t="s">
        <v>44</v>
      </c>
      <c r="N324">
        <v>43</v>
      </c>
      <c r="O324" t="s">
        <v>59</v>
      </c>
      <c r="P324" t="s">
        <v>29</v>
      </c>
      <c r="Q324" t="s">
        <v>53</v>
      </c>
      <c r="R324" t="s">
        <v>94</v>
      </c>
      <c r="S324">
        <v>38.419199999999996</v>
      </c>
      <c r="T324">
        <v>27.128699999999998</v>
      </c>
    </row>
    <row r="325" spans="1:20" x14ac:dyDescent="0.25">
      <c r="A325" t="s">
        <v>315</v>
      </c>
      <c r="B325" s="1">
        <v>45615</v>
      </c>
      <c r="C325" s="1">
        <v>45626</v>
      </c>
      <c r="D325" t="s">
        <v>75</v>
      </c>
      <c r="E325" t="s">
        <v>50</v>
      </c>
      <c r="F325" t="s">
        <v>71</v>
      </c>
      <c r="G325" t="s">
        <v>43</v>
      </c>
      <c r="H325" t="s">
        <v>25</v>
      </c>
      <c r="I325">
        <v>369</v>
      </c>
      <c r="J325">
        <v>81</v>
      </c>
      <c r="K325">
        <v>29889</v>
      </c>
      <c r="L325" t="s">
        <v>65</v>
      </c>
      <c r="M325" t="s">
        <v>51</v>
      </c>
      <c r="N325">
        <v>40</v>
      </c>
      <c r="O325" t="s">
        <v>28</v>
      </c>
      <c r="P325" t="s">
        <v>45</v>
      </c>
      <c r="Q325" t="s">
        <v>68</v>
      </c>
      <c r="R325" t="s">
        <v>88</v>
      </c>
      <c r="S325">
        <v>17.385000000000002</v>
      </c>
      <c r="T325">
        <v>78.486699999999999</v>
      </c>
    </row>
    <row r="326" spans="1:20" x14ac:dyDescent="0.25">
      <c r="A326" t="s">
        <v>372</v>
      </c>
      <c r="B326" s="1">
        <v>45616</v>
      </c>
      <c r="C326" s="1">
        <v>45626</v>
      </c>
      <c r="D326" t="s">
        <v>116</v>
      </c>
      <c r="E326" t="s">
        <v>57</v>
      </c>
      <c r="F326" t="s">
        <v>33</v>
      </c>
      <c r="G326" t="s">
        <v>24</v>
      </c>
      <c r="H326" t="s">
        <v>25</v>
      </c>
      <c r="I326">
        <v>1247</v>
      </c>
      <c r="J326">
        <v>30</v>
      </c>
      <c r="K326">
        <v>37410</v>
      </c>
      <c r="L326" t="s">
        <v>26</v>
      </c>
      <c r="M326" t="s">
        <v>51</v>
      </c>
      <c r="N326">
        <v>53</v>
      </c>
      <c r="O326" t="s">
        <v>37</v>
      </c>
      <c r="P326" t="s">
        <v>45</v>
      </c>
      <c r="Q326" t="s">
        <v>68</v>
      </c>
      <c r="R326" t="s">
        <v>127</v>
      </c>
      <c r="S326">
        <v>26.846699999999998</v>
      </c>
      <c r="T326">
        <v>80.946200000000005</v>
      </c>
    </row>
    <row r="327" spans="1:20" x14ac:dyDescent="0.25">
      <c r="A327" t="s">
        <v>161</v>
      </c>
      <c r="B327" s="1">
        <v>45617</v>
      </c>
      <c r="C327" s="1">
        <v>45626</v>
      </c>
      <c r="D327" t="s">
        <v>129</v>
      </c>
      <c r="E327" t="s">
        <v>103</v>
      </c>
      <c r="F327" t="s">
        <v>71</v>
      </c>
      <c r="G327" t="s">
        <v>43</v>
      </c>
      <c r="H327" t="s">
        <v>104</v>
      </c>
      <c r="I327">
        <v>1106</v>
      </c>
      <c r="J327">
        <v>71</v>
      </c>
      <c r="K327">
        <v>78526</v>
      </c>
      <c r="L327" t="s">
        <v>26</v>
      </c>
      <c r="M327" t="s">
        <v>36</v>
      </c>
      <c r="N327">
        <v>33</v>
      </c>
      <c r="O327" t="s">
        <v>52</v>
      </c>
      <c r="P327" t="s">
        <v>29</v>
      </c>
      <c r="Q327" t="s">
        <v>68</v>
      </c>
      <c r="R327" t="s">
        <v>132</v>
      </c>
      <c r="S327">
        <v>13.082700000000001</v>
      </c>
      <c r="T327">
        <v>80.270700000000005</v>
      </c>
    </row>
    <row r="328" spans="1:20" x14ac:dyDescent="0.25">
      <c r="A328" t="s">
        <v>373</v>
      </c>
      <c r="B328" s="1">
        <v>45618</v>
      </c>
      <c r="C328" s="1">
        <v>45626</v>
      </c>
      <c r="D328" t="s">
        <v>41</v>
      </c>
      <c r="E328" t="s">
        <v>42</v>
      </c>
      <c r="F328" t="s">
        <v>71</v>
      </c>
      <c r="G328" t="s">
        <v>24</v>
      </c>
      <c r="H328" t="s">
        <v>25</v>
      </c>
      <c r="I328">
        <v>621</v>
      </c>
      <c r="J328">
        <v>40</v>
      </c>
      <c r="K328">
        <v>24840</v>
      </c>
      <c r="L328" t="s">
        <v>65</v>
      </c>
      <c r="M328" t="s">
        <v>36</v>
      </c>
      <c r="N328">
        <v>48</v>
      </c>
      <c r="O328" t="s">
        <v>59</v>
      </c>
      <c r="P328" t="s">
        <v>38</v>
      </c>
      <c r="Q328" t="s">
        <v>68</v>
      </c>
      <c r="R328" t="s">
        <v>88</v>
      </c>
      <c r="S328">
        <v>17.385000000000002</v>
      </c>
      <c r="T328">
        <v>78.486699999999999</v>
      </c>
    </row>
    <row r="329" spans="1:20" x14ac:dyDescent="0.25">
      <c r="A329" t="s">
        <v>374</v>
      </c>
      <c r="B329" s="1">
        <v>45619</v>
      </c>
      <c r="C329" s="1">
        <v>45626</v>
      </c>
      <c r="D329" t="s">
        <v>129</v>
      </c>
      <c r="E329" t="s">
        <v>103</v>
      </c>
      <c r="F329" t="s">
        <v>23</v>
      </c>
      <c r="G329" t="s">
        <v>24</v>
      </c>
      <c r="H329" t="s">
        <v>104</v>
      </c>
      <c r="I329">
        <v>1150</v>
      </c>
      <c r="J329">
        <v>43</v>
      </c>
      <c r="K329">
        <v>49450</v>
      </c>
      <c r="L329" t="s">
        <v>65</v>
      </c>
      <c r="M329" t="s">
        <v>51</v>
      </c>
      <c r="N329">
        <v>38</v>
      </c>
      <c r="O329" t="s">
        <v>28</v>
      </c>
      <c r="P329" t="s">
        <v>45</v>
      </c>
      <c r="Q329" t="s">
        <v>68</v>
      </c>
      <c r="R329" t="s">
        <v>132</v>
      </c>
      <c r="S329">
        <v>13.082700000000001</v>
      </c>
      <c r="T329">
        <v>80.270700000000005</v>
      </c>
    </row>
    <row r="330" spans="1:20" x14ac:dyDescent="0.25">
      <c r="A330" t="s">
        <v>201</v>
      </c>
      <c r="B330" s="1">
        <v>45620</v>
      </c>
      <c r="C330" s="1">
        <v>45626</v>
      </c>
      <c r="D330" t="s">
        <v>64</v>
      </c>
      <c r="E330" t="s">
        <v>50</v>
      </c>
      <c r="F330" t="s">
        <v>23</v>
      </c>
      <c r="G330" t="s">
        <v>24</v>
      </c>
      <c r="H330" t="s">
        <v>25</v>
      </c>
      <c r="I330">
        <v>837</v>
      </c>
      <c r="J330">
        <v>83</v>
      </c>
      <c r="K330">
        <v>69471</v>
      </c>
      <c r="L330" t="s">
        <v>65</v>
      </c>
      <c r="M330" t="s">
        <v>36</v>
      </c>
      <c r="N330">
        <v>41</v>
      </c>
      <c r="O330" t="s">
        <v>28</v>
      </c>
      <c r="P330" t="s">
        <v>45</v>
      </c>
      <c r="Q330" t="s">
        <v>30</v>
      </c>
      <c r="R330" t="s">
        <v>202</v>
      </c>
      <c r="S330">
        <v>24.860700000000001</v>
      </c>
      <c r="T330">
        <v>67.001099999999994</v>
      </c>
    </row>
    <row r="331" spans="1:20" x14ac:dyDescent="0.25">
      <c r="A331" t="s">
        <v>282</v>
      </c>
      <c r="B331" s="1">
        <v>45621</v>
      </c>
      <c r="C331" s="1">
        <v>45626</v>
      </c>
      <c r="D331" t="s">
        <v>49</v>
      </c>
      <c r="E331" t="s">
        <v>50</v>
      </c>
      <c r="F331" t="s">
        <v>71</v>
      </c>
      <c r="G331" t="s">
        <v>43</v>
      </c>
      <c r="H331" t="s">
        <v>25</v>
      </c>
      <c r="I331">
        <v>319</v>
      </c>
      <c r="J331">
        <v>34</v>
      </c>
      <c r="K331">
        <v>10846</v>
      </c>
      <c r="L331" t="s">
        <v>35</v>
      </c>
      <c r="M331" t="s">
        <v>44</v>
      </c>
      <c r="N331">
        <v>34</v>
      </c>
      <c r="O331" t="s">
        <v>28</v>
      </c>
      <c r="P331" t="s">
        <v>38</v>
      </c>
      <c r="Q331" t="s">
        <v>68</v>
      </c>
      <c r="R331" t="s">
        <v>91</v>
      </c>
      <c r="S331">
        <v>26.912400000000002</v>
      </c>
      <c r="T331">
        <v>75.787300000000002</v>
      </c>
    </row>
    <row r="332" spans="1:20" x14ac:dyDescent="0.25">
      <c r="A332" t="s">
        <v>344</v>
      </c>
      <c r="B332" s="1">
        <v>45622</v>
      </c>
      <c r="C332" s="1">
        <v>45626</v>
      </c>
      <c r="D332" t="s">
        <v>146</v>
      </c>
      <c r="E332" t="s">
        <v>57</v>
      </c>
      <c r="F332" t="s">
        <v>33</v>
      </c>
      <c r="G332" t="s">
        <v>24</v>
      </c>
      <c r="H332" t="s">
        <v>25</v>
      </c>
      <c r="I332">
        <v>443</v>
      </c>
      <c r="J332">
        <v>77</v>
      </c>
      <c r="K332">
        <v>34111</v>
      </c>
      <c r="L332" t="s">
        <v>26</v>
      </c>
      <c r="M332" t="s">
        <v>36</v>
      </c>
      <c r="N332">
        <v>62</v>
      </c>
      <c r="O332" t="s">
        <v>66</v>
      </c>
      <c r="P332" t="s">
        <v>45</v>
      </c>
      <c r="Q332" t="s">
        <v>68</v>
      </c>
      <c r="R332" t="s">
        <v>195</v>
      </c>
      <c r="S332">
        <v>19.076000000000001</v>
      </c>
      <c r="T332">
        <v>72.877700000000004</v>
      </c>
    </row>
    <row r="333" spans="1:20" x14ac:dyDescent="0.25">
      <c r="A333" t="s">
        <v>375</v>
      </c>
      <c r="B333" s="1">
        <v>45623</v>
      </c>
      <c r="C333" s="1">
        <v>45626</v>
      </c>
      <c r="D333" t="s">
        <v>82</v>
      </c>
      <c r="E333" t="s">
        <v>50</v>
      </c>
      <c r="F333" t="s">
        <v>23</v>
      </c>
      <c r="G333" t="s">
        <v>43</v>
      </c>
      <c r="H333" t="s">
        <v>25</v>
      </c>
      <c r="I333">
        <v>531</v>
      </c>
      <c r="J333">
        <v>21</v>
      </c>
      <c r="K333">
        <v>11151</v>
      </c>
      <c r="L333" t="s">
        <v>26</v>
      </c>
      <c r="M333" t="s">
        <v>27</v>
      </c>
      <c r="N333">
        <v>49</v>
      </c>
      <c r="O333" t="s">
        <v>59</v>
      </c>
      <c r="P333" t="s">
        <v>45</v>
      </c>
      <c r="Q333" t="s">
        <v>68</v>
      </c>
      <c r="R333" t="s">
        <v>69</v>
      </c>
      <c r="S333">
        <v>18.520399999999999</v>
      </c>
      <c r="T333">
        <v>73.856700000000004</v>
      </c>
    </row>
    <row r="334" spans="1:20" x14ac:dyDescent="0.25">
      <c r="A334" t="s">
        <v>376</v>
      </c>
      <c r="B334" s="1">
        <v>45624</v>
      </c>
      <c r="C334" s="1">
        <v>45626</v>
      </c>
      <c r="D334" t="s">
        <v>49</v>
      </c>
      <c r="E334" t="s">
        <v>50</v>
      </c>
      <c r="F334" t="s">
        <v>23</v>
      </c>
      <c r="G334" t="s">
        <v>58</v>
      </c>
      <c r="H334" t="s">
        <v>25</v>
      </c>
      <c r="I334">
        <v>315</v>
      </c>
      <c r="J334">
        <v>92</v>
      </c>
      <c r="K334">
        <v>28980</v>
      </c>
      <c r="L334" t="s">
        <v>26</v>
      </c>
      <c r="M334" t="s">
        <v>27</v>
      </c>
      <c r="N334">
        <v>33</v>
      </c>
      <c r="O334" t="s">
        <v>52</v>
      </c>
      <c r="P334" t="s">
        <v>45</v>
      </c>
      <c r="Q334" t="s">
        <v>53</v>
      </c>
      <c r="R334" t="s">
        <v>73</v>
      </c>
      <c r="S334">
        <v>41.008200000000002</v>
      </c>
      <c r="T334">
        <v>28.978400000000001</v>
      </c>
    </row>
    <row r="335" spans="1:20" x14ac:dyDescent="0.25">
      <c r="A335" t="s">
        <v>282</v>
      </c>
      <c r="B335" s="1">
        <v>45625</v>
      </c>
      <c r="C335" s="1">
        <v>45626</v>
      </c>
      <c r="D335" t="s">
        <v>49</v>
      </c>
      <c r="E335" t="s">
        <v>50</v>
      </c>
      <c r="F335" t="s">
        <v>71</v>
      </c>
      <c r="G335" t="s">
        <v>43</v>
      </c>
      <c r="H335" t="s">
        <v>25</v>
      </c>
      <c r="I335">
        <v>319</v>
      </c>
      <c r="J335">
        <v>34</v>
      </c>
      <c r="K335">
        <v>10846</v>
      </c>
      <c r="L335" t="s">
        <v>35</v>
      </c>
      <c r="M335" t="s">
        <v>44</v>
      </c>
      <c r="N335">
        <v>34</v>
      </c>
      <c r="O335" t="s">
        <v>28</v>
      </c>
      <c r="P335" t="s">
        <v>38</v>
      </c>
      <c r="Q335" t="s">
        <v>68</v>
      </c>
      <c r="R335" t="s">
        <v>91</v>
      </c>
      <c r="S335">
        <v>26.912400000000002</v>
      </c>
      <c r="T335">
        <v>75.787300000000002</v>
      </c>
    </row>
    <row r="336" spans="1:20" x14ac:dyDescent="0.25">
      <c r="A336" t="s">
        <v>377</v>
      </c>
      <c r="B336" s="1">
        <v>45626</v>
      </c>
      <c r="C336" s="1">
        <v>45626</v>
      </c>
      <c r="D336" t="s">
        <v>102</v>
      </c>
      <c r="E336" t="s">
        <v>103</v>
      </c>
      <c r="F336" t="s">
        <v>33</v>
      </c>
      <c r="G336" t="s">
        <v>43</v>
      </c>
      <c r="H336" t="s">
        <v>104</v>
      </c>
      <c r="I336">
        <v>1045</v>
      </c>
      <c r="J336">
        <v>23</v>
      </c>
      <c r="K336">
        <v>24035</v>
      </c>
      <c r="L336" t="s">
        <v>65</v>
      </c>
      <c r="M336" t="s">
        <v>44</v>
      </c>
      <c r="N336">
        <v>32</v>
      </c>
      <c r="O336" t="s">
        <v>52</v>
      </c>
      <c r="P336" t="s">
        <v>29</v>
      </c>
      <c r="Q336" t="s">
        <v>46</v>
      </c>
      <c r="R336" t="s">
        <v>60</v>
      </c>
      <c r="S336">
        <v>24.374500000000001</v>
      </c>
      <c r="T336">
        <v>88.604200000000006</v>
      </c>
    </row>
    <row r="337" spans="1:20" x14ac:dyDescent="0.25">
      <c r="A337" t="s">
        <v>378</v>
      </c>
      <c r="B337" s="1">
        <v>45627</v>
      </c>
      <c r="C337" s="1">
        <v>45657</v>
      </c>
      <c r="D337" t="s">
        <v>131</v>
      </c>
      <c r="E337" t="s">
        <v>103</v>
      </c>
      <c r="F337" t="s">
        <v>71</v>
      </c>
      <c r="G337" t="s">
        <v>43</v>
      </c>
      <c r="H337" t="s">
        <v>104</v>
      </c>
      <c r="I337">
        <v>892</v>
      </c>
      <c r="J337">
        <v>58</v>
      </c>
      <c r="K337">
        <v>51736</v>
      </c>
      <c r="L337" t="s">
        <v>26</v>
      </c>
      <c r="M337" t="s">
        <v>44</v>
      </c>
      <c r="N337">
        <v>42</v>
      </c>
      <c r="O337" t="s">
        <v>59</v>
      </c>
      <c r="P337" t="s">
        <v>29</v>
      </c>
      <c r="Q337" t="s">
        <v>53</v>
      </c>
      <c r="R337" t="s">
        <v>100</v>
      </c>
      <c r="S337">
        <v>39.933399999999999</v>
      </c>
      <c r="T337">
        <v>32.859699999999997</v>
      </c>
    </row>
    <row r="338" spans="1:20" x14ac:dyDescent="0.25">
      <c r="A338" t="s">
        <v>319</v>
      </c>
      <c r="B338" s="1">
        <v>45628</v>
      </c>
      <c r="C338" s="1">
        <v>45657</v>
      </c>
      <c r="D338" t="s">
        <v>78</v>
      </c>
      <c r="E338" t="s">
        <v>22</v>
      </c>
      <c r="F338" t="s">
        <v>71</v>
      </c>
      <c r="G338" t="s">
        <v>58</v>
      </c>
      <c r="H338" t="s">
        <v>25</v>
      </c>
      <c r="I338">
        <v>789</v>
      </c>
      <c r="J338">
        <v>47</v>
      </c>
      <c r="K338">
        <v>37083</v>
      </c>
      <c r="L338" t="s">
        <v>65</v>
      </c>
      <c r="M338" t="s">
        <v>27</v>
      </c>
      <c r="N338">
        <v>23</v>
      </c>
      <c r="O338" t="s">
        <v>87</v>
      </c>
      <c r="P338" t="s">
        <v>45</v>
      </c>
      <c r="Q338" t="s">
        <v>68</v>
      </c>
      <c r="R338" t="s">
        <v>83</v>
      </c>
      <c r="S338">
        <v>28.7041</v>
      </c>
      <c r="T338">
        <v>77.102500000000006</v>
      </c>
    </row>
    <row r="339" spans="1:20" x14ac:dyDescent="0.25">
      <c r="A339" t="s">
        <v>379</v>
      </c>
      <c r="B339" s="1">
        <v>45629</v>
      </c>
      <c r="C339" s="1">
        <v>45657</v>
      </c>
      <c r="D339" t="s">
        <v>78</v>
      </c>
      <c r="E339" t="s">
        <v>22</v>
      </c>
      <c r="F339" t="s">
        <v>71</v>
      </c>
      <c r="G339" t="s">
        <v>24</v>
      </c>
      <c r="H339" t="s">
        <v>25</v>
      </c>
      <c r="I339">
        <v>715</v>
      </c>
      <c r="J339">
        <v>59</v>
      </c>
      <c r="K339">
        <v>42185</v>
      </c>
      <c r="L339" t="s">
        <v>65</v>
      </c>
      <c r="M339" t="s">
        <v>27</v>
      </c>
      <c r="N339">
        <v>53</v>
      </c>
      <c r="O339" t="s">
        <v>37</v>
      </c>
      <c r="P339" t="s">
        <v>45</v>
      </c>
      <c r="Q339" t="s">
        <v>68</v>
      </c>
      <c r="R339" t="s">
        <v>170</v>
      </c>
      <c r="S339">
        <v>23.022500000000001</v>
      </c>
      <c r="T339">
        <v>72.571399999999997</v>
      </c>
    </row>
    <row r="340" spans="1:20" x14ac:dyDescent="0.25">
      <c r="A340" s="2" t="s">
        <v>380</v>
      </c>
      <c r="B340" s="1">
        <v>45630</v>
      </c>
      <c r="C340" s="1">
        <v>45657</v>
      </c>
      <c r="D340" t="s">
        <v>126</v>
      </c>
      <c r="E340" t="s">
        <v>103</v>
      </c>
      <c r="F340" t="s">
        <v>71</v>
      </c>
      <c r="G340" t="s">
        <v>34</v>
      </c>
      <c r="H340" t="s">
        <v>104</v>
      </c>
      <c r="I340">
        <v>887</v>
      </c>
      <c r="J340">
        <v>10</v>
      </c>
      <c r="K340">
        <v>8870</v>
      </c>
      <c r="L340" t="s">
        <v>65</v>
      </c>
      <c r="M340" t="s">
        <v>44</v>
      </c>
      <c r="N340">
        <v>38</v>
      </c>
      <c r="O340" t="s">
        <v>28</v>
      </c>
      <c r="P340" t="s">
        <v>45</v>
      </c>
      <c r="Q340" t="s">
        <v>46</v>
      </c>
      <c r="R340" t="s">
        <v>111</v>
      </c>
      <c r="S340">
        <v>22.845600000000001</v>
      </c>
      <c r="T340">
        <v>89.540300000000002</v>
      </c>
    </row>
    <row r="341" spans="1:20" x14ac:dyDescent="0.25">
      <c r="A341" t="s">
        <v>381</v>
      </c>
      <c r="B341" s="1">
        <v>45631</v>
      </c>
      <c r="C341" s="1">
        <v>45657</v>
      </c>
      <c r="D341" t="s">
        <v>116</v>
      </c>
      <c r="E341" t="s">
        <v>57</v>
      </c>
      <c r="F341" t="s">
        <v>71</v>
      </c>
      <c r="G341" t="s">
        <v>24</v>
      </c>
      <c r="H341" t="s">
        <v>25</v>
      </c>
      <c r="I341">
        <v>1239</v>
      </c>
      <c r="J341">
        <v>34</v>
      </c>
      <c r="K341">
        <v>42126</v>
      </c>
      <c r="L341" t="s">
        <v>26</v>
      </c>
      <c r="M341" t="s">
        <v>27</v>
      </c>
      <c r="N341">
        <v>37</v>
      </c>
      <c r="O341" t="s">
        <v>28</v>
      </c>
      <c r="P341" t="s">
        <v>45</v>
      </c>
      <c r="Q341" t="s">
        <v>53</v>
      </c>
      <c r="R341" t="s">
        <v>73</v>
      </c>
      <c r="S341">
        <v>41.008200000000002</v>
      </c>
      <c r="T341">
        <v>28.978400000000001</v>
      </c>
    </row>
    <row r="342" spans="1:20" x14ac:dyDescent="0.25">
      <c r="A342" t="s">
        <v>325</v>
      </c>
      <c r="B342" s="1">
        <v>45632</v>
      </c>
      <c r="C342" s="1">
        <v>45657</v>
      </c>
      <c r="D342" t="s">
        <v>85</v>
      </c>
      <c r="E342" t="s">
        <v>22</v>
      </c>
      <c r="F342" t="s">
        <v>23</v>
      </c>
      <c r="G342" t="s">
        <v>58</v>
      </c>
      <c r="H342" t="s">
        <v>25</v>
      </c>
      <c r="I342">
        <v>1048</v>
      </c>
      <c r="J342">
        <v>87</v>
      </c>
      <c r="K342">
        <v>91176</v>
      </c>
      <c r="L342" t="s">
        <v>26</v>
      </c>
      <c r="M342" t="s">
        <v>44</v>
      </c>
      <c r="N342">
        <v>35</v>
      </c>
      <c r="O342" t="s">
        <v>28</v>
      </c>
      <c r="P342" t="s">
        <v>45</v>
      </c>
      <c r="Q342" t="s">
        <v>53</v>
      </c>
      <c r="R342" t="s">
        <v>54</v>
      </c>
      <c r="S342">
        <v>40.1828</v>
      </c>
      <c r="T342">
        <v>29.066500000000001</v>
      </c>
    </row>
    <row r="343" spans="1:20" x14ac:dyDescent="0.25">
      <c r="A343" t="s">
        <v>382</v>
      </c>
      <c r="B343" s="1">
        <v>45633</v>
      </c>
      <c r="C343" s="1">
        <v>45657</v>
      </c>
      <c r="D343" t="s">
        <v>80</v>
      </c>
      <c r="E343" t="s">
        <v>42</v>
      </c>
      <c r="F343" t="s">
        <v>23</v>
      </c>
      <c r="G343" t="s">
        <v>24</v>
      </c>
      <c r="H343" t="s">
        <v>25</v>
      </c>
      <c r="I343">
        <v>537</v>
      </c>
      <c r="J343">
        <v>36</v>
      </c>
      <c r="K343">
        <v>19332</v>
      </c>
      <c r="L343" t="s">
        <v>65</v>
      </c>
      <c r="M343" t="s">
        <v>27</v>
      </c>
      <c r="N343">
        <v>52</v>
      </c>
      <c r="O343" t="s">
        <v>37</v>
      </c>
      <c r="P343" t="s">
        <v>29</v>
      </c>
      <c r="Q343" t="s">
        <v>68</v>
      </c>
      <c r="R343" t="s">
        <v>83</v>
      </c>
      <c r="S343">
        <v>28.7041</v>
      </c>
      <c r="T343">
        <v>77.102500000000006</v>
      </c>
    </row>
    <row r="344" spans="1:20" x14ac:dyDescent="0.25">
      <c r="A344" t="s">
        <v>383</v>
      </c>
      <c r="B344" s="1">
        <v>45634</v>
      </c>
      <c r="C344" s="1">
        <v>45657</v>
      </c>
      <c r="D344" t="s">
        <v>49</v>
      </c>
      <c r="E344" t="s">
        <v>50</v>
      </c>
      <c r="F344" t="s">
        <v>23</v>
      </c>
      <c r="G344" t="s">
        <v>43</v>
      </c>
      <c r="H344" t="s">
        <v>25</v>
      </c>
      <c r="I344">
        <v>343</v>
      </c>
      <c r="J344">
        <v>87</v>
      </c>
      <c r="K344">
        <v>29841</v>
      </c>
      <c r="L344" t="s">
        <v>26</v>
      </c>
      <c r="M344" t="s">
        <v>36</v>
      </c>
      <c r="N344">
        <v>55</v>
      </c>
      <c r="O344" t="s">
        <v>37</v>
      </c>
      <c r="P344" t="s">
        <v>29</v>
      </c>
      <c r="Q344" t="s">
        <v>46</v>
      </c>
      <c r="R344" t="s">
        <v>76</v>
      </c>
      <c r="S344">
        <v>23.810300000000002</v>
      </c>
      <c r="T344">
        <v>90.412499999999994</v>
      </c>
    </row>
    <row r="345" spans="1:20" x14ac:dyDescent="0.25">
      <c r="A345" t="s">
        <v>158</v>
      </c>
      <c r="B345" s="1">
        <v>45635</v>
      </c>
      <c r="C345" s="1">
        <v>45657</v>
      </c>
      <c r="D345" t="s">
        <v>159</v>
      </c>
      <c r="E345" t="s">
        <v>103</v>
      </c>
      <c r="F345" t="s">
        <v>23</v>
      </c>
      <c r="G345" t="s">
        <v>43</v>
      </c>
      <c r="H345" t="s">
        <v>104</v>
      </c>
      <c r="I345">
        <v>456</v>
      </c>
      <c r="J345">
        <v>9</v>
      </c>
      <c r="K345">
        <v>4104</v>
      </c>
      <c r="L345" t="s">
        <v>26</v>
      </c>
      <c r="M345" t="s">
        <v>44</v>
      </c>
      <c r="N345">
        <v>21</v>
      </c>
      <c r="O345" t="s">
        <v>87</v>
      </c>
      <c r="P345" t="s">
        <v>45</v>
      </c>
      <c r="Q345" t="s">
        <v>53</v>
      </c>
      <c r="R345" t="s">
        <v>100</v>
      </c>
      <c r="S345">
        <v>39.933399999999999</v>
      </c>
      <c r="T345">
        <v>32.859699999999997</v>
      </c>
    </row>
    <row r="346" spans="1:20" x14ac:dyDescent="0.25">
      <c r="A346" t="s">
        <v>89</v>
      </c>
      <c r="B346" s="1">
        <v>45636</v>
      </c>
      <c r="C346" s="1">
        <v>45657</v>
      </c>
      <c r="D346" t="s">
        <v>80</v>
      </c>
      <c r="E346" t="s">
        <v>42</v>
      </c>
      <c r="F346" t="s">
        <v>23</v>
      </c>
      <c r="G346" t="s">
        <v>34</v>
      </c>
      <c r="H346" t="s">
        <v>25</v>
      </c>
      <c r="I346">
        <v>540</v>
      </c>
      <c r="J346">
        <v>44</v>
      </c>
      <c r="K346">
        <v>23760</v>
      </c>
      <c r="L346" t="s">
        <v>35</v>
      </c>
      <c r="M346" t="s">
        <v>51</v>
      </c>
      <c r="N346">
        <v>23</v>
      </c>
      <c r="O346" t="s">
        <v>87</v>
      </c>
      <c r="P346" t="s">
        <v>29</v>
      </c>
      <c r="Q346" t="s">
        <v>46</v>
      </c>
      <c r="R346" t="s">
        <v>60</v>
      </c>
      <c r="S346">
        <v>24.374500000000001</v>
      </c>
      <c r="T346">
        <v>88.604200000000006</v>
      </c>
    </row>
    <row r="347" spans="1:20" x14ac:dyDescent="0.25">
      <c r="A347" t="s">
        <v>384</v>
      </c>
      <c r="B347" s="1">
        <v>45637</v>
      </c>
      <c r="C347" s="1">
        <v>45657</v>
      </c>
      <c r="D347" t="s">
        <v>116</v>
      </c>
      <c r="E347" t="s">
        <v>57</v>
      </c>
      <c r="F347" t="s">
        <v>71</v>
      </c>
      <c r="G347" t="s">
        <v>58</v>
      </c>
      <c r="H347" t="s">
        <v>25</v>
      </c>
      <c r="I347">
        <v>1207</v>
      </c>
      <c r="J347">
        <v>35</v>
      </c>
      <c r="K347">
        <v>42245</v>
      </c>
      <c r="L347" t="s">
        <v>26</v>
      </c>
      <c r="M347" t="s">
        <v>27</v>
      </c>
      <c r="N347">
        <v>20</v>
      </c>
      <c r="O347" t="s">
        <v>87</v>
      </c>
      <c r="P347" t="s">
        <v>45</v>
      </c>
      <c r="Q347" t="s">
        <v>68</v>
      </c>
      <c r="R347" t="s">
        <v>69</v>
      </c>
      <c r="S347">
        <v>18.520399999999999</v>
      </c>
      <c r="T347">
        <v>73.856700000000004</v>
      </c>
    </row>
    <row r="348" spans="1:20" x14ac:dyDescent="0.25">
      <c r="A348" t="s">
        <v>385</v>
      </c>
      <c r="B348" s="1">
        <v>45638</v>
      </c>
      <c r="C348" s="1">
        <v>45657</v>
      </c>
      <c r="D348" t="s">
        <v>96</v>
      </c>
      <c r="E348" t="s">
        <v>42</v>
      </c>
      <c r="F348" t="s">
        <v>23</v>
      </c>
      <c r="G348" t="s">
        <v>58</v>
      </c>
      <c r="H348" t="s">
        <v>25</v>
      </c>
      <c r="I348">
        <v>829</v>
      </c>
      <c r="J348">
        <v>29</v>
      </c>
      <c r="K348">
        <v>24041</v>
      </c>
      <c r="L348" t="s">
        <v>35</v>
      </c>
      <c r="M348" t="s">
        <v>51</v>
      </c>
      <c r="N348">
        <v>42</v>
      </c>
      <c r="O348" t="s">
        <v>59</v>
      </c>
      <c r="P348" t="s">
        <v>45</v>
      </c>
      <c r="Q348" t="s">
        <v>68</v>
      </c>
      <c r="R348" t="s">
        <v>91</v>
      </c>
      <c r="S348">
        <v>26.912400000000002</v>
      </c>
      <c r="T348">
        <v>75.787300000000002</v>
      </c>
    </row>
    <row r="349" spans="1:20" x14ac:dyDescent="0.25">
      <c r="A349" t="s">
        <v>386</v>
      </c>
      <c r="B349" s="1">
        <v>45639</v>
      </c>
      <c r="C349" s="1">
        <v>45657</v>
      </c>
      <c r="D349" t="s">
        <v>131</v>
      </c>
      <c r="E349" t="s">
        <v>103</v>
      </c>
      <c r="F349" t="s">
        <v>71</v>
      </c>
      <c r="G349" t="s">
        <v>72</v>
      </c>
      <c r="H349" t="s">
        <v>104</v>
      </c>
      <c r="I349">
        <v>880</v>
      </c>
      <c r="J349">
        <v>52</v>
      </c>
      <c r="K349">
        <v>45760</v>
      </c>
      <c r="L349" t="s">
        <v>65</v>
      </c>
      <c r="M349" t="s">
        <v>27</v>
      </c>
      <c r="N349">
        <v>63</v>
      </c>
      <c r="O349" t="s">
        <v>66</v>
      </c>
      <c r="P349" t="s">
        <v>45</v>
      </c>
      <c r="Q349" t="s">
        <v>53</v>
      </c>
      <c r="R349" t="s">
        <v>100</v>
      </c>
      <c r="S349">
        <v>39.933399999999999</v>
      </c>
      <c r="T349">
        <v>32.859699999999997</v>
      </c>
    </row>
    <row r="350" spans="1:20" x14ac:dyDescent="0.25">
      <c r="A350" t="s">
        <v>387</v>
      </c>
      <c r="B350" s="1">
        <v>45640</v>
      </c>
      <c r="C350" s="1">
        <v>45657</v>
      </c>
      <c r="D350" t="s">
        <v>102</v>
      </c>
      <c r="E350" t="s">
        <v>103</v>
      </c>
      <c r="F350" t="s">
        <v>23</v>
      </c>
      <c r="G350" t="s">
        <v>34</v>
      </c>
      <c r="H350" t="s">
        <v>104</v>
      </c>
      <c r="I350">
        <v>1065</v>
      </c>
      <c r="J350">
        <v>39</v>
      </c>
      <c r="K350">
        <v>41535</v>
      </c>
      <c r="L350" t="s">
        <v>26</v>
      </c>
      <c r="M350" t="s">
        <v>36</v>
      </c>
      <c r="N350">
        <v>27</v>
      </c>
      <c r="O350" t="s">
        <v>52</v>
      </c>
      <c r="P350" t="s">
        <v>29</v>
      </c>
      <c r="Q350" t="s">
        <v>68</v>
      </c>
      <c r="R350" t="s">
        <v>91</v>
      </c>
      <c r="S350">
        <v>26.912400000000002</v>
      </c>
      <c r="T350">
        <v>75.787300000000002</v>
      </c>
    </row>
    <row r="351" spans="1:20" x14ac:dyDescent="0.25">
      <c r="A351" t="s">
        <v>388</v>
      </c>
      <c r="B351" s="1">
        <v>45641</v>
      </c>
      <c r="C351" s="1">
        <v>45657</v>
      </c>
      <c r="D351" t="s">
        <v>85</v>
      </c>
      <c r="E351" t="s">
        <v>22</v>
      </c>
      <c r="F351" t="s">
        <v>71</v>
      </c>
      <c r="G351" t="s">
        <v>34</v>
      </c>
      <c r="H351" t="s">
        <v>25</v>
      </c>
      <c r="I351">
        <v>1013</v>
      </c>
      <c r="J351">
        <v>29</v>
      </c>
      <c r="K351">
        <v>29377</v>
      </c>
      <c r="L351" t="s">
        <v>35</v>
      </c>
      <c r="M351" t="s">
        <v>36</v>
      </c>
      <c r="N351">
        <v>50</v>
      </c>
      <c r="O351" t="s">
        <v>37</v>
      </c>
      <c r="P351" t="s">
        <v>38</v>
      </c>
      <c r="Q351" t="s">
        <v>68</v>
      </c>
      <c r="R351" t="s">
        <v>195</v>
      </c>
      <c r="S351">
        <v>19.076000000000001</v>
      </c>
      <c r="T351">
        <v>72.877700000000004</v>
      </c>
    </row>
    <row r="352" spans="1:20" x14ac:dyDescent="0.25">
      <c r="A352" t="s">
        <v>191</v>
      </c>
      <c r="B352" s="1">
        <v>45642</v>
      </c>
      <c r="C352" s="1">
        <v>45657</v>
      </c>
      <c r="D352" t="s">
        <v>78</v>
      </c>
      <c r="E352" t="s">
        <v>22</v>
      </c>
      <c r="F352" t="s">
        <v>33</v>
      </c>
      <c r="G352" t="s">
        <v>34</v>
      </c>
      <c r="H352" t="s">
        <v>25</v>
      </c>
      <c r="I352">
        <v>735</v>
      </c>
      <c r="J352">
        <v>28</v>
      </c>
      <c r="K352">
        <v>20580</v>
      </c>
      <c r="L352" t="s">
        <v>35</v>
      </c>
      <c r="M352" t="s">
        <v>51</v>
      </c>
      <c r="N352">
        <v>38</v>
      </c>
      <c r="O352" t="s">
        <v>28</v>
      </c>
      <c r="P352" t="s">
        <v>29</v>
      </c>
      <c r="Q352" t="s">
        <v>53</v>
      </c>
      <c r="R352" t="s">
        <v>62</v>
      </c>
      <c r="S352">
        <v>36.896900000000002</v>
      </c>
      <c r="T352">
        <v>30.7133</v>
      </c>
    </row>
    <row r="353" spans="1:20" x14ac:dyDescent="0.25">
      <c r="A353" t="s">
        <v>389</v>
      </c>
      <c r="B353" s="1">
        <v>45643</v>
      </c>
      <c r="C353" s="1">
        <v>45657</v>
      </c>
      <c r="D353" t="s">
        <v>96</v>
      </c>
      <c r="E353" t="s">
        <v>42</v>
      </c>
      <c r="F353" t="s">
        <v>71</v>
      </c>
      <c r="G353" t="s">
        <v>72</v>
      </c>
      <c r="H353" t="s">
        <v>25</v>
      </c>
      <c r="I353">
        <v>802</v>
      </c>
      <c r="J353">
        <v>13</v>
      </c>
      <c r="K353">
        <v>10426</v>
      </c>
      <c r="L353" t="s">
        <v>26</v>
      </c>
      <c r="M353" t="s">
        <v>44</v>
      </c>
      <c r="N353">
        <v>36</v>
      </c>
      <c r="O353" t="s">
        <v>28</v>
      </c>
      <c r="P353" t="s">
        <v>29</v>
      </c>
      <c r="Q353" t="s">
        <v>46</v>
      </c>
      <c r="R353" t="s">
        <v>60</v>
      </c>
      <c r="S353">
        <v>24.374500000000001</v>
      </c>
      <c r="T353">
        <v>88.604200000000006</v>
      </c>
    </row>
    <row r="354" spans="1:20" x14ac:dyDescent="0.25">
      <c r="A354" t="s">
        <v>390</v>
      </c>
      <c r="B354" s="1">
        <v>45644</v>
      </c>
      <c r="C354" s="1">
        <v>45657</v>
      </c>
      <c r="D354" t="s">
        <v>85</v>
      </c>
      <c r="E354" t="s">
        <v>22</v>
      </c>
      <c r="F354" t="s">
        <v>33</v>
      </c>
      <c r="G354" t="s">
        <v>34</v>
      </c>
      <c r="H354" t="s">
        <v>25</v>
      </c>
      <c r="I354">
        <v>1029</v>
      </c>
      <c r="J354">
        <v>95</v>
      </c>
      <c r="K354">
        <v>97755</v>
      </c>
      <c r="L354" t="s">
        <v>65</v>
      </c>
      <c r="M354" t="s">
        <v>44</v>
      </c>
      <c r="N354">
        <v>36</v>
      </c>
      <c r="O354" t="s">
        <v>28</v>
      </c>
      <c r="P354" t="s">
        <v>29</v>
      </c>
      <c r="Q354" t="s">
        <v>53</v>
      </c>
      <c r="R354" t="s">
        <v>54</v>
      </c>
      <c r="S354">
        <v>40.1828</v>
      </c>
      <c r="T354">
        <v>29.066500000000001</v>
      </c>
    </row>
    <row r="355" spans="1:20" x14ac:dyDescent="0.25">
      <c r="A355" t="s">
        <v>391</v>
      </c>
      <c r="B355" s="1">
        <v>45645</v>
      </c>
      <c r="C355" s="1">
        <v>45657</v>
      </c>
      <c r="D355" t="s">
        <v>80</v>
      </c>
      <c r="E355" t="s">
        <v>42</v>
      </c>
      <c r="F355" t="s">
        <v>33</v>
      </c>
      <c r="G355" t="s">
        <v>58</v>
      </c>
      <c r="H355" t="s">
        <v>25</v>
      </c>
      <c r="I355">
        <v>534</v>
      </c>
      <c r="J355">
        <v>55</v>
      </c>
      <c r="K355">
        <v>29370</v>
      </c>
      <c r="L355" t="s">
        <v>26</v>
      </c>
      <c r="M355" t="s">
        <v>36</v>
      </c>
      <c r="N355">
        <v>33</v>
      </c>
      <c r="O355" t="s">
        <v>52</v>
      </c>
      <c r="P355" t="s">
        <v>45</v>
      </c>
      <c r="Q355" t="s">
        <v>53</v>
      </c>
      <c r="R355" t="s">
        <v>100</v>
      </c>
      <c r="S355">
        <v>39.933399999999999</v>
      </c>
      <c r="T355">
        <v>32.859699999999997</v>
      </c>
    </row>
    <row r="356" spans="1:20" x14ac:dyDescent="0.25">
      <c r="A356" t="s">
        <v>392</v>
      </c>
      <c r="B356" s="1">
        <v>45646</v>
      </c>
      <c r="C356" s="1">
        <v>45657</v>
      </c>
      <c r="D356" t="s">
        <v>116</v>
      </c>
      <c r="E356" t="s">
        <v>57</v>
      </c>
      <c r="F356" t="s">
        <v>33</v>
      </c>
      <c r="G356" t="s">
        <v>43</v>
      </c>
      <c r="H356" t="s">
        <v>25</v>
      </c>
      <c r="I356">
        <v>1260</v>
      </c>
      <c r="J356">
        <v>66</v>
      </c>
      <c r="K356">
        <v>83160</v>
      </c>
      <c r="L356" t="s">
        <v>65</v>
      </c>
      <c r="M356" t="s">
        <v>36</v>
      </c>
      <c r="N356">
        <v>32</v>
      </c>
      <c r="O356" t="s">
        <v>52</v>
      </c>
      <c r="P356" t="s">
        <v>45</v>
      </c>
      <c r="Q356" t="s">
        <v>68</v>
      </c>
      <c r="R356" t="s">
        <v>195</v>
      </c>
      <c r="S356">
        <v>19.076000000000001</v>
      </c>
      <c r="T356">
        <v>72.877700000000004</v>
      </c>
    </row>
    <row r="357" spans="1:20" x14ac:dyDescent="0.25">
      <c r="A357" t="s">
        <v>393</v>
      </c>
      <c r="B357" s="1">
        <v>45647</v>
      </c>
      <c r="C357" s="1">
        <v>45657</v>
      </c>
      <c r="D357" t="s">
        <v>116</v>
      </c>
      <c r="E357" t="s">
        <v>57</v>
      </c>
      <c r="F357" t="s">
        <v>33</v>
      </c>
      <c r="G357" t="s">
        <v>43</v>
      </c>
      <c r="H357" t="s">
        <v>25</v>
      </c>
      <c r="I357">
        <v>1211</v>
      </c>
      <c r="J357">
        <v>85</v>
      </c>
      <c r="K357">
        <v>102935</v>
      </c>
      <c r="L357" t="s">
        <v>26</v>
      </c>
      <c r="M357" t="s">
        <v>51</v>
      </c>
      <c r="N357">
        <v>47</v>
      </c>
      <c r="O357" t="s">
        <v>59</v>
      </c>
      <c r="P357" t="s">
        <v>45</v>
      </c>
      <c r="Q357" t="s">
        <v>68</v>
      </c>
      <c r="R357" t="s">
        <v>69</v>
      </c>
      <c r="S357">
        <v>18.520399999999999</v>
      </c>
      <c r="T357">
        <v>73.856700000000004</v>
      </c>
    </row>
    <row r="358" spans="1:20" x14ac:dyDescent="0.25">
      <c r="A358" t="s">
        <v>287</v>
      </c>
      <c r="B358" s="1">
        <v>45648</v>
      </c>
      <c r="C358" s="1">
        <v>45657</v>
      </c>
      <c r="D358" t="s">
        <v>80</v>
      </c>
      <c r="E358" t="s">
        <v>42</v>
      </c>
      <c r="F358" t="s">
        <v>71</v>
      </c>
      <c r="G358" t="s">
        <v>34</v>
      </c>
      <c r="H358" t="s">
        <v>25</v>
      </c>
      <c r="I358">
        <v>564</v>
      </c>
      <c r="J358">
        <v>36</v>
      </c>
      <c r="K358">
        <v>20304</v>
      </c>
      <c r="L358" t="s">
        <v>35</v>
      </c>
      <c r="M358" t="s">
        <v>44</v>
      </c>
      <c r="N358">
        <v>20</v>
      </c>
      <c r="O358" t="s">
        <v>87</v>
      </c>
      <c r="P358" t="s">
        <v>45</v>
      </c>
      <c r="Q358" t="s">
        <v>68</v>
      </c>
      <c r="R358" t="s">
        <v>127</v>
      </c>
      <c r="S358">
        <v>26.846699999999998</v>
      </c>
      <c r="T358">
        <v>80.946200000000005</v>
      </c>
    </row>
    <row r="359" spans="1:20" x14ac:dyDescent="0.25">
      <c r="A359" t="s">
        <v>394</v>
      </c>
      <c r="B359" s="1">
        <v>45649</v>
      </c>
      <c r="C359" s="1">
        <v>45657</v>
      </c>
      <c r="D359" t="s">
        <v>126</v>
      </c>
      <c r="E359" t="s">
        <v>103</v>
      </c>
      <c r="F359" t="s">
        <v>33</v>
      </c>
      <c r="G359" t="s">
        <v>72</v>
      </c>
      <c r="H359" t="s">
        <v>104</v>
      </c>
      <c r="I359">
        <v>852</v>
      </c>
      <c r="J359">
        <v>65</v>
      </c>
      <c r="K359">
        <v>55380</v>
      </c>
      <c r="L359" t="s">
        <v>26</v>
      </c>
      <c r="M359" t="s">
        <v>36</v>
      </c>
      <c r="N359">
        <v>35</v>
      </c>
      <c r="O359" t="s">
        <v>28</v>
      </c>
      <c r="P359" t="s">
        <v>45</v>
      </c>
      <c r="Q359" t="s">
        <v>68</v>
      </c>
      <c r="R359" t="s">
        <v>127</v>
      </c>
      <c r="S359">
        <v>26.846699999999998</v>
      </c>
      <c r="T359">
        <v>80.946200000000005</v>
      </c>
    </row>
    <row r="360" spans="1:20" x14ac:dyDescent="0.25">
      <c r="A360" t="s">
        <v>395</v>
      </c>
      <c r="B360" s="1">
        <v>45650</v>
      </c>
      <c r="C360" s="1">
        <v>45657</v>
      </c>
      <c r="D360" t="s">
        <v>75</v>
      </c>
      <c r="E360" t="s">
        <v>50</v>
      </c>
      <c r="F360" t="s">
        <v>33</v>
      </c>
      <c r="G360" t="s">
        <v>43</v>
      </c>
      <c r="H360" t="s">
        <v>25</v>
      </c>
      <c r="I360">
        <v>376</v>
      </c>
      <c r="J360">
        <v>49</v>
      </c>
      <c r="K360">
        <v>18424</v>
      </c>
      <c r="L360" t="s">
        <v>65</v>
      </c>
      <c r="M360" t="s">
        <v>44</v>
      </c>
      <c r="N360">
        <v>38</v>
      </c>
      <c r="O360" t="s">
        <v>28</v>
      </c>
      <c r="P360" t="s">
        <v>45</v>
      </c>
      <c r="Q360" t="s">
        <v>46</v>
      </c>
      <c r="R360" t="s">
        <v>47</v>
      </c>
      <c r="S360">
        <v>22.3569</v>
      </c>
      <c r="T360">
        <v>91.783199999999994</v>
      </c>
    </row>
    <row r="361" spans="1:20" x14ac:dyDescent="0.25">
      <c r="A361" t="s">
        <v>396</v>
      </c>
      <c r="B361" s="1">
        <v>45651</v>
      </c>
      <c r="C361" s="1">
        <v>45657</v>
      </c>
      <c r="D361" t="s">
        <v>64</v>
      </c>
      <c r="E361" t="s">
        <v>50</v>
      </c>
      <c r="F361" t="s">
        <v>23</v>
      </c>
      <c r="G361" t="s">
        <v>43</v>
      </c>
      <c r="H361" t="s">
        <v>25</v>
      </c>
      <c r="I361">
        <v>804</v>
      </c>
      <c r="J361">
        <v>94</v>
      </c>
      <c r="K361">
        <v>75576</v>
      </c>
      <c r="L361" t="s">
        <v>26</v>
      </c>
      <c r="M361" t="s">
        <v>44</v>
      </c>
      <c r="N361">
        <v>33</v>
      </c>
      <c r="O361" t="s">
        <v>52</v>
      </c>
      <c r="P361" t="s">
        <v>45</v>
      </c>
      <c r="Q361" t="s">
        <v>46</v>
      </c>
      <c r="R361" t="s">
        <v>111</v>
      </c>
      <c r="S361">
        <v>22.845600000000001</v>
      </c>
      <c r="T361">
        <v>89.540300000000002</v>
      </c>
    </row>
    <row r="362" spans="1:20" x14ac:dyDescent="0.25">
      <c r="A362" t="s">
        <v>397</v>
      </c>
      <c r="B362" s="1">
        <v>45652</v>
      </c>
      <c r="C362" s="1">
        <v>45657</v>
      </c>
      <c r="D362" t="s">
        <v>102</v>
      </c>
      <c r="E362" t="s">
        <v>103</v>
      </c>
      <c r="F362" t="s">
        <v>23</v>
      </c>
      <c r="G362" t="s">
        <v>24</v>
      </c>
      <c r="H362" t="s">
        <v>104</v>
      </c>
      <c r="I362">
        <v>1097</v>
      </c>
      <c r="J362">
        <v>3</v>
      </c>
      <c r="K362">
        <v>3291</v>
      </c>
      <c r="L362" t="s">
        <v>26</v>
      </c>
      <c r="M362" t="s">
        <v>36</v>
      </c>
      <c r="N362">
        <v>43</v>
      </c>
      <c r="O362" t="s">
        <v>59</v>
      </c>
      <c r="P362" t="s">
        <v>29</v>
      </c>
      <c r="Q362" t="s">
        <v>53</v>
      </c>
      <c r="R362" t="s">
        <v>54</v>
      </c>
      <c r="S362">
        <v>40.1828</v>
      </c>
      <c r="T362">
        <v>29.066500000000001</v>
      </c>
    </row>
    <row r="363" spans="1:20" x14ac:dyDescent="0.25">
      <c r="A363" t="s">
        <v>398</v>
      </c>
      <c r="B363" s="1">
        <v>45653</v>
      </c>
      <c r="C363" s="1">
        <v>45657</v>
      </c>
      <c r="D363" t="s">
        <v>96</v>
      </c>
      <c r="E363" t="s">
        <v>42</v>
      </c>
      <c r="F363" t="s">
        <v>33</v>
      </c>
      <c r="G363" t="s">
        <v>24</v>
      </c>
      <c r="H363" t="s">
        <v>25</v>
      </c>
      <c r="I363">
        <v>829</v>
      </c>
      <c r="J363">
        <v>21</v>
      </c>
      <c r="K363">
        <v>17409</v>
      </c>
      <c r="L363" t="s">
        <v>26</v>
      </c>
      <c r="M363" t="s">
        <v>44</v>
      </c>
      <c r="N363">
        <v>19</v>
      </c>
      <c r="O363" t="s">
        <v>87</v>
      </c>
      <c r="P363" t="s">
        <v>45</v>
      </c>
      <c r="Q363" t="s">
        <v>68</v>
      </c>
      <c r="R363" t="s">
        <v>127</v>
      </c>
      <c r="S363">
        <v>26.846699999999998</v>
      </c>
      <c r="T363">
        <v>80.946200000000005</v>
      </c>
    </row>
    <row r="364" spans="1:20" x14ac:dyDescent="0.25">
      <c r="A364" t="s">
        <v>399</v>
      </c>
      <c r="B364" s="1">
        <v>45654</v>
      </c>
      <c r="C364" s="1">
        <v>45657</v>
      </c>
      <c r="D364" t="s">
        <v>21</v>
      </c>
      <c r="E364" t="s">
        <v>22</v>
      </c>
      <c r="F364" t="s">
        <v>71</v>
      </c>
      <c r="G364" t="s">
        <v>24</v>
      </c>
      <c r="H364" t="s">
        <v>25</v>
      </c>
      <c r="I364">
        <v>539</v>
      </c>
      <c r="J364">
        <v>18</v>
      </c>
      <c r="K364">
        <v>9702</v>
      </c>
      <c r="L364" t="s">
        <v>26</v>
      </c>
      <c r="M364" t="s">
        <v>44</v>
      </c>
      <c r="N364">
        <v>44</v>
      </c>
      <c r="O364" t="s">
        <v>59</v>
      </c>
      <c r="P364" t="s">
        <v>45</v>
      </c>
      <c r="Q364" t="s">
        <v>53</v>
      </c>
      <c r="R364" t="s">
        <v>94</v>
      </c>
      <c r="S364">
        <v>38.419199999999996</v>
      </c>
      <c r="T364">
        <v>27.128699999999998</v>
      </c>
    </row>
    <row r="365" spans="1:20" x14ac:dyDescent="0.25">
      <c r="A365" t="s">
        <v>169</v>
      </c>
      <c r="B365" s="1">
        <v>45655</v>
      </c>
      <c r="C365" s="1">
        <v>45657</v>
      </c>
      <c r="D365" t="s">
        <v>131</v>
      </c>
      <c r="E365" t="s">
        <v>103</v>
      </c>
      <c r="F365" t="s">
        <v>71</v>
      </c>
      <c r="G365" t="s">
        <v>24</v>
      </c>
      <c r="H365" t="s">
        <v>104</v>
      </c>
      <c r="I365">
        <v>884</v>
      </c>
      <c r="J365">
        <v>29</v>
      </c>
      <c r="K365">
        <v>25636</v>
      </c>
      <c r="L365" t="s">
        <v>65</v>
      </c>
      <c r="M365" t="s">
        <v>36</v>
      </c>
      <c r="N365">
        <v>37</v>
      </c>
      <c r="O365" t="s">
        <v>28</v>
      </c>
      <c r="P365" t="s">
        <v>45</v>
      </c>
      <c r="Q365" t="s">
        <v>68</v>
      </c>
      <c r="R365" t="s">
        <v>170</v>
      </c>
      <c r="S365">
        <v>23.022500000000001</v>
      </c>
      <c r="T365">
        <v>72.571399999999997</v>
      </c>
    </row>
    <row r="366" spans="1:20" x14ac:dyDescent="0.25">
      <c r="A366" t="s">
        <v>400</v>
      </c>
      <c r="B366" s="1">
        <v>45656</v>
      </c>
      <c r="C366" s="1">
        <v>45657</v>
      </c>
      <c r="D366" t="s">
        <v>126</v>
      </c>
      <c r="E366" t="s">
        <v>103</v>
      </c>
      <c r="F366" t="s">
        <v>33</v>
      </c>
      <c r="G366" t="s">
        <v>58</v>
      </c>
      <c r="H366" t="s">
        <v>104</v>
      </c>
      <c r="I366">
        <v>877</v>
      </c>
      <c r="J366">
        <v>88</v>
      </c>
      <c r="K366">
        <v>77176</v>
      </c>
      <c r="L366" t="s">
        <v>65</v>
      </c>
      <c r="M366" t="s">
        <v>44</v>
      </c>
      <c r="N366">
        <v>61</v>
      </c>
      <c r="O366" t="s">
        <v>66</v>
      </c>
      <c r="P366" t="s">
        <v>29</v>
      </c>
      <c r="Q366" t="s">
        <v>53</v>
      </c>
      <c r="R366" t="s">
        <v>54</v>
      </c>
      <c r="S366">
        <v>40.1828</v>
      </c>
      <c r="T366">
        <v>29.066500000000001</v>
      </c>
    </row>
    <row r="367" spans="1:20" x14ac:dyDescent="0.25">
      <c r="A367" t="s">
        <v>401</v>
      </c>
      <c r="B367" s="1">
        <v>45657</v>
      </c>
      <c r="C367" s="1">
        <v>45657</v>
      </c>
      <c r="D367" t="s">
        <v>116</v>
      </c>
      <c r="E367" t="s">
        <v>57</v>
      </c>
      <c r="F367" t="s">
        <v>23</v>
      </c>
      <c r="G367" t="s">
        <v>72</v>
      </c>
      <c r="H367" t="s">
        <v>25</v>
      </c>
      <c r="I367">
        <v>1242</v>
      </c>
      <c r="J367">
        <v>97</v>
      </c>
      <c r="K367">
        <v>120474</v>
      </c>
      <c r="L367" t="s">
        <v>65</v>
      </c>
      <c r="M367" t="s">
        <v>36</v>
      </c>
      <c r="N367">
        <v>20</v>
      </c>
      <c r="O367" t="s">
        <v>87</v>
      </c>
      <c r="P367" t="s">
        <v>29</v>
      </c>
      <c r="Q367" t="s">
        <v>53</v>
      </c>
      <c r="R367" t="s">
        <v>94</v>
      </c>
      <c r="S367">
        <v>38.419199999999996</v>
      </c>
      <c r="T367">
        <v>27.128699999999998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BABA-C75B-462B-9B90-DCD0C5B50362}">
  <dimension ref="A1:U367"/>
  <sheetViews>
    <sheetView showRowColHeaders="0" topLeftCell="C1" zoomScaleNormal="100" workbookViewId="0">
      <selection activeCell="N3" sqref="N3"/>
    </sheetView>
  </sheetViews>
  <sheetFormatPr defaultRowHeight="18" x14ac:dyDescent="0.25"/>
  <cols>
    <col min="1" max="1" width="35.453125" style="4" bestFit="1" customWidth="1"/>
    <col min="2" max="2" width="17.36328125" style="1" bestFit="1" customWidth="1"/>
    <col min="3" max="3" width="12.81640625" style="4" bestFit="1" customWidth="1"/>
    <col min="4" max="4" width="10.7265625" style="4" bestFit="1" customWidth="1"/>
    <col min="5" max="5" width="13.54296875" style="1" bestFit="1" customWidth="1"/>
    <col min="6" max="6" width="14.08984375" style="4" bestFit="1" customWidth="1"/>
    <col min="7" max="7" width="8.08984375" style="4" bestFit="1" customWidth="1"/>
    <col min="8" max="8" width="13.453125" style="4" bestFit="1" customWidth="1"/>
    <col min="9" max="9" width="6.90625" style="4" bestFit="1" customWidth="1"/>
    <col min="10" max="10" width="18" style="4" bestFit="1" customWidth="1"/>
    <col min="11" max="11" width="8.7265625" style="3" bestFit="1" customWidth="1"/>
    <col min="12" max="12" width="11.36328125" style="5" bestFit="1" customWidth="1"/>
    <col min="13" max="13" width="15" style="3" bestFit="1" customWidth="1"/>
    <col min="14" max="14" width="17.1796875" style="3" bestFit="1" customWidth="1"/>
    <col min="15" max="16" width="15" style="4" bestFit="1" customWidth="1"/>
    <col min="17" max="17" width="14.90625" style="5" bestFit="1" customWidth="1"/>
    <col min="18" max="18" width="21.36328125" style="4" bestFit="1" customWidth="1"/>
    <col min="19" max="19" width="17.90625" style="4" bestFit="1" customWidth="1"/>
    <col min="20" max="20" width="9.90625" style="4" bestFit="1" customWidth="1"/>
    <col min="21" max="21" width="10.1796875" style="4" bestFit="1" customWidth="1"/>
  </cols>
  <sheetData>
    <row r="1" spans="1:21" x14ac:dyDescent="0.25">
      <c r="A1" s="4" t="s">
        <v>0</v>
      </c>
      <c r="B1" s="1" t="s">
        <v>1</v>
      </c>
      <c r="C1" s="4" t="s">
        <v>404</v>
      </c>
      <c r="D1" s="4" t="s">
        <v>405</v>
      </c>
      <c r="E1" s="1" t="s">
        <v>2</v>
      </c>
      <c r="F1" s="4" t="s">
        <v>3</v>
      </c>
      <c r="G1" s="4" t="s">
        <v>4</v>
      </c>
      <c r="H1" s="4" t="s">
        <v>5</v>
      </c>
      <c r="I1" s="4" t="s">
        <v>6</v>
      </c>
      <c r="J1" s="4" t="s">
        <v>7</v>
      </c>
      <c r="K1" s="3" t="s">
        <v>8</v>
      </c>
      <c r="L1" s="5" t="s">
        <v>9</v>
      </c>
      <c r="M1" s="3" t="s">
        <v>10</v>
      </c>
      <c r="N1" s="3" t="s">
        <v>426</v>
      </c>
      <c r="O1" s="4" t="s">
        <v>11</v>
      </c>
      <c r="P1" s="4" t="s">
        <v>12</v>
      </c>
      <c r="Q1" s="5" t="s">
        <v>13</v>
      </c>
      <c r="R1" s="4" t="s">
        <v>14</v>
      </c>
      <c r="S1" s="4" t="s">
        <v>15</v>
      </c>
      <c r="T1" s="4" t="s">
        <v>16</v>
      </c>
      <c r="U1" s="4" t="s">
        <v>17</v>
      </c>
    </row>
    <row r="2" spans="1:21" x14ac:dyDescent="0.25">
      <c r="A2" s="4" t="s">
        <v>20</v>
      </c>
      <c r="B2" s="1">
        <v>45292</v>
      </c>
      <c r="C2" s="4" t="s">
        <v>406</v>
      </c>
      <c r="D2" s="4" t="s">
        <v>407</v>
      </c>
      <c r="E2" s="1">
        <v>45322</v>
      </c>
      <c r="F2" s="4" t="s">
        <v>21</v>
      </c>
      <c r="G2" s="4" t="s">
        <v>22</v>
      </c>
      <c r="H2" s="4" t="s">
        <v>23</v>
      </c>
      <c r="I2" s="4" t="s">
        <v>24</v>
      </c>
      <c r="J2" s="4" t="s">
        <v>25</v>
      </c>
      <c r="K2" s="3">
        <v>534</v>
      </c>
      <c r="L2" s="5">
        <v>20</v>
      </c>
      <c r="M2" s="3">
        <v>10680</v>
      </c>
      <c r="N2" s="3">
        <f>AVERAGE(Mobile_Phone_Sales[[#This Row],[Total_Revenue]]/Mobile_Phone_Sales[[#This Row],[Units_Sold]])</f>
        <v>534</v>
      </c>
      <c r="O2" s="4" t="s">
        <v>26</v>
      </c>
      <c r="P2" s="4" t="s">
        <v>27</v>
      </c>
      <c r="Q2" s="5">
        <v>40</v>
      </c>
      <c r="R2" s="4" t="s">
        <v>28</v>
      </c>
      <c r="S2" s="4" t="s">
        <v>29</v>
      </c>
      <c r="T2" s="4" t="s">
        <v>30</v>
      </c>
      <c r="U2" s="4" t="s">
        <v>31</v>
      </c>
    </row>
    <row r="3" spans="1:21" x14ac:dyDescent="0.25">
      <c r="A3" s="4" t="s">
        <v>32</v>
      </c>
      <c r="B3" s="1">
        <v>45293</v>
      </c>
      <c r="C3" s="4" t="s">
        <v>406</v>
      </c>
      <c r="D3" s="4" t="s">
        <v>408</v>
      </c>
      <c r="E3" s="1">
        <v>45322</v>
      </c>
      <c r="F3" s="4" t="s">
        <v>21</v>
      </c>
      <c r="G3" s="4" t="s">
        <v>22</v>
      </c>
      <c r="H3" s="4" t="s">
        <v>33</v>
      </c>
      <c r="I3" s="4" t="s">
        <v>34</v>
      </c>
      <c r="J3" s="4" t="s">
        <v>25</v>
      </c>
      <c r="K3" s="3">
        <v>531</v>
      </c>
      <c r="L3" s="5">
        <v>65</v>
      </c>
      <c r="M3" s="3">
        <v>34515</v>
      </c>
      <c r="N3" s="3">
        <f>AVERAGE(Mobile_Phone_Sales[[#This Row],[Total_Revenue]]/Mobile_Phone_Sales[[#This Row],[Units_Sold]])</f>
        <v>531</v>
      </c>
      <c r="O3" s="4" t="s">
        <v>35</v>
      </c>
      <c r="P3" s="4" t="s">
        <v>36</v>
      </c>
      <c r="Q3" s="5">
        <v>55</v>
      </c>
      <c r="R3" s="4" t="s">
        <v>37</v>
      </c>
      <c r="S3" s="4" t="s">
        <v>38</v>
      </c>
      <c r="T3" s="4" t="s">
        <v>30</v>
      </c>
      <c r="U3" s="4" t="s">
        <v>39</v>
      </c>
    </row>
    <row r="4" spans="1:21" x14ac:dyDescent="0.25">
      <c r="A4" s="4" t="s">
        <v>40</v>
      </c>
      <c r="B4" s="1">
        <v>45294</v>
      </c>
      <c r="C4" s="4" t="s">
        <v>406</v>
      </c>
      <c r="D4" s="4" t="s">
        <v>409</v>
      </c>
      <c r="E4" s="1">
        <v>45322</v>
      </c>
      <c r="F4" s="4" t="s">
        <v>41</v>
      </c>
      <c r="G4" s="4" t="s">
        <v>42</v>
      </c>
      <c r="H4" s="4" t="s">
        <v>33</v>
      </c>
      <c r="I4" s="4" t="s">
        <v>43</v>
      </c>
      <c r="J4" s="4" t="s">
        <v>25</v>
      </c>
      <c r="K4" s="3">
        <v>608</v>
      </c>
      <c r="L4" s="5">
        <v>58</v>
      </c>
      <c r="M4" s="3">
        <v>35264</v>
      </c>
      <c r="N4" s="3">
        <f>AVERAGE(Mobile_Phone_Sales[[#This Row],[Total_Revenue]]/Mobile_Phone_Sales[[#This Row],[Units_Sold]])</f>
        <v>608</v>
      </c>
      <c r="O4" s="4" t="s">
        <v>26</v>
      </c>
      <c r="P4" s="4" t="s">
        <v>44</v>
      </c>
      <c r="Q4" s="5">
        <v>40</v>
      </c>
      <c r="R4" s="4" t="s">
        <v>28</v>
      </c>
      <c r="S4" s="4" t="s">
        <v>45</v>
      </c>
      <c r="T4" s="4" t="s">
        <v>46</v>
      </c>
      <c r="U4" s="4" t="s">
        <v>47</v>
      </c>
    </row>
    <row r="5" spans="1:21" x14ac:dyDescent="0.25">
      <c r="A5" s="4" t="s">
        <v>48</v>
      </c>
      <c r="B5" s="1">
        <v>45295</v>
      </c>
      <c r="C5" s="4" t="s">
        <v>406</v>
      </c>
      <c r="D5" s="4" t="s">
        <v>410</v>
      </c>
      <c r="E5" s="1">
        <v>45322</v>
      </c>
      <c r="F5" s="4" t="s">
        <v>49</v>
      </c>
      <c r="G5" s="4" t="s">
        <v>50</v>
      </c>
      <c r="H5" s="4" t="s">
        <v>33</v>
      </c>
      <c r="I5" s="4" t="s">
        <v>43</v>
      </c>
      <c r="J5" s="4" t="s">
        <v>25</v>
      </c>
      <c r="K5" s="3">
        <v>342</v>
      </c>
      <c r="L5" s="5">
        <v>25</v>
      </c>
      <c r="M5" s="3">
        <v>8550</v>
      </c>
      <c r="N5" s="3">
        <f>AVERAGE(Mobile_Phone_Sales[[#This Row],[Total_Revenue]]/Mobile_Phone_Sales[[#This Row],[Units_Sold]])</f>
        <v>342</v>
      </c>
      <c r="O5" s="4" t="s">
        <v>26</v>
      </c>
      <c r="P5" s="4" t="s">
        <v>51</v>
      </c>
      <c r="Q5" s="5">
        <v>32</v>
      </c>
      <c r="R5" s="4" t="s">
        <v>52</v>
      </c>
      <c r="S5" s="4" t="s">
        <v>45</v>
      </c>
      <c r="T5" s="4" t="s">
        <v>53</v>
      </c>
      <c r="U5" s="4" t="s">
        <v>54</v>
      </c>
    </row>
    <row r="6" spans="1:21" x14ac:dyDescent="0.25">
      <c r="A6" s="4" t="s">
        <v>55</v>
      </c>
      <c r="B6" s="1">
        <v>45296</v>
      </c>
      <c r="C6" s="4" t="s">
        <v>406</v>
      </c>
      <c r="D6" s="4" t="s">
        <v>411</v>
      </c>
      <c r="E6" s="1">
        <v>45322</v>
      </c>
      <c r="F6" s="4" t="s">
        <v>56</v>
      </c>
      <c r="G6" s="4" t="s">
        <v>57</v>
      </c>
      <c r="H6" s="4" t="s">
        <v>23</v>
      </c>
      <c r="I6" s="4" t="s">
        <v>58</v>
      </c>
      <c r="J6" s="4" t="s">
        <v>25</v>
      </c>
      <c r="K6" s="3">
        <v>1841</v>
      </c>
      <c r="L6" s="5">
        <v>57</v>
      </c>
      <c r="M6" s="3">
        <v>104937</v>
      </c>
      <c r="N6" s="3">
        <f>AVERAGE(Mobile_Phone_Sales[[#This Row],[Total_Revenue]]/Mobile_Phone_Sales[[#This Row],[Units_Sold]])</f>
        <v>1841</v>
      </c>
      <c r="O6" s="4" t="s">
        <v>26</v>
      </c>
      <c r="P6" s="4" t="s">
        <v>27</v>
      </c>
      <c r="Q6" s="5">
        <v>47</v>
      </c>
      <c r="R6" s="4" t="s">
        <v>59</v>
      </c>
      <c r="S6" s="4" t="s">
        <v>45</v>
      </c>
      <c r="T6" s="4" t="s">
        <v>46</v>
      </c>
      <c r="U6" s="4" t="s">
        <v>60</v>
      </c>
    </row>
    <row r="7" spans="1:21" x14ac:dyDescent="0.25">
      <c r="A7" s="4" t="s">
        <v>61</v>
      </c>
      <c r="B7" s="1">
        <v>45297</v>
      </c>
      <c r="C7" s="4" t="s">
        <v>406</v>
      </c>
      <c r="D7" s="4" t="s">
        <v>412</v>
      </c>
      <c r="E7" s="1">
        <v>45322</v>
      </c>
      <c r="F7" s="4" t="s">
        <v>56</v>
      </c>
      <c r="G7" s="4" t="s">
        <v>57</v>
      </c>
      <c r="H7" s="4" t="s">
        <v>23</v>
      </c>
      <c r="I7" s="4" t="s">
        <v>58</v>
      </c>
      <c r="J7" s="4" t="s">
        <v>25</v>
      </c>
      <c r="K7" s="3">
        <v>1879</v>
      </c>
      <c r="L7" s="5">
        <v>35</v>
      </c>
      <c r="M7" s="3">
        <v>65765</v>
      </c>
      <c r="N7" s="3">
        <f>AVERAGE(Mobile_Phone_Sales[[#This Row],[Total_Revenue]]/Mobile_Phone_Sales[[#This Row],[Units_Sold]])</f>
        <v>1879</v>
      </c>
      <c r="O7" s="4" t="s">
        <v>26</v>
      </c>
      <c r="P7" s="4" t="s">
        <v>44</v>
      </c>
      <c r="Q7" s="5">
        <v>27</v>
      </c>
      <c r="R7" s="4" t="s">
        <v>52</v>
      </c>
      <c r="S7" s="4" t="s">
        <v>45</v>
      </c>
      <c r="T7" s="4" t="s">
        <v>53</v>
      </c>
      <c r="U7" s="4" t="s">
        <v>62</v>
      </c>
    </row>
    <row r="8" spans="1:21" x14ac:dyDescent="0.25">
      <c r="A8" s="4" t="s">
        <v>63</v>
      </c>
      <c r="B8" s="1">
        <v>45298</v>
      </c>
      <c r="C8" s="4" t="s">
        <v>406</v>
      </c>
      <c r="D8" s="4" t="s">
        <v>413</v>
      </c>
      <c r="E8" s="1">
        <v>45322</v>
      </c>
      <c r="F8" s="4" t="s">
        <v>64</v>
      </c>
      <c r="G8" s="4" t="s">
        <v>50</v>
      </c>
      <c r="H8" s="4" t="s">
        <v>33</v>
      </c>
      <c r="I8" s="4" t="s">
        <v>24</v>
      </c>
      <c r="J8" s="4" t="s">
        <v>25</v>
      </c>
      <c r="K8" s="3">
        <v>891</v>
      </c>
      <c r="L8" s="5">
        <v>69</v>
      </c>
      <c r="M8" s="3">
        <v>61479</v>
      </c>
      <c r="N8" s="3">
        <f>AVERAGE(Mobile_Phone_Sales[[#This Row],[Total_Revenue]]/Mobile_Phone_Sales[[#This Row],[Units_Sold]])</f>
        <v>891</v>
      </c>
      <c r="O8" s="4" t="s">
        <v>65</v>
      </c>
      <c r="P8" s="4" t="s">
        <v>51</v>
      </c>
      <c r="Q8" s="5">
        <v>64</v>
      </c>
      <c r="R8" s="4" t="s">
        <v>66</v>
      </c>
      <c r="S8" s="4" t="s">
        <v>38</v>
      </c>
      <c r="T8" s="4" t="s">
        <v>46</v>
      </c>
      <c r="U8" s="4" t="s">
        <v>60</v>
      </c>
    </row>
    <row r="9" spans="1:21" x14ac:dyDescent="0.25">
      <c r="A9" s="4" t="s">
        <v>67</v>
      </c>
      <c r="B9" s="1">
        <v>45299</v>
      </c>
      <c r="C9" s="4" t="s">
        <v>406</v>
      </c>
      <c r="D9" s="4" t="s">
        <v>407</v>
      </c>
      <c r="E9" s="1">
        <v>45322</v>
      </c>
      <c r="F9" s="4" t="s">
        <v>41</v>
      </c>
      <c r="G9" s="4" t="s">
        <v>42</v>
      </c>
      <c r="H9" s="4" t="s">
        <v>33</v>
      </c>
      <c r="I9" s="4" t="s">
        <v>24</v>
      </c>
      <c r="J9" s="4" t="s">
        <v>25</v>
      </c>
      <c r="K9" s="3">
        <v>641</v>
      </c>
      <c r="L9" s="5">
        <v>85</v>
      </c>
      <c r="M9" s="3">
        <v>54485</v>
      </c>
      <c r="N9" s="3">
        <f>AVERAGE(Mobile_Phone_Sales[[#This Row],[Total_Revenue]]/Mobile_Phone_Sales[[#This Row],[Units_Sold]])</f>
        <v>641</v>
      </c>
      <c r="O9" s="4" t="s">
        <v>26</v>
      </c>
      <c r="P9" s="4" t="s">
        <v>36</v>
      </c>
      <c r="Q9" s="5">
        <v>32</v>
      </c>
      <c r="R9" s="4" t="s">
        <v>52</v>
      </c>
      <c r="S9" s="4" t="s">
        <v>45</v>
      </c>
      <c r="T9" s="4" t="s">
        <v>68</v>
      </c>
      <c r="U9" s="4" t="s">
        <v>69</v>
      </c>
    </row>
    <row r="10" spans="1:21" x14ac:dyDescent="0.25">
      <c r="A10" s="4" t="s">
        <v>70</v>
      </c>
      <c r="B10" s="1">
        <v>45300</v>
      </c>
      <c r="C10" s="4" t="s">
        <v>406</v>
      </c>
      <c r="D10" s="4" t="s">
        <v>408</v>
      </c>
      <c r="E10" s="1">
        <v>45322</v>
      </c>
      <c r="F10" s="4" t="s">
        <v>21</v>
      </c>
      <c r="G10" s="4" t="s">
        <v>22</v>
      </c>
      <c r="H10" s="4" t="s">
        <v>71</v>
      </c>
      <c r="I10" s="4" t="s">
        <v>72</v>
      </c>
      <c r="J10" s="4" t="s">
        <v>25</v>
      </c>
      <c r="K10" s="3">
        <v>540</v>
      </c>
      <c r="L10" s="5">
        <v>93</v>
      </c>
      <c r="M10" s="3">
        <v>50220</v>
      </c>
      <c r="N10" s="3">
        <f>AVERAGE(Mobile_Phone_Sales[[#This Row],[Total_Revenue]]/Mobile_Phone_Sales[[#This Row],[Units_Sold]])</f>
        <v>540</v>
      </c>
      <c r="O10" s="4" t="s">
        <v>26</v>
      </c>
      <c r="P10" s="4" t="s">
        <v>36</v>
      </c>
      <c r="Q10" s="5">
        <v>33</v>
      </c>
      <c r="R10" s="4" t="s">
        <v>52</v>
      </c>
      <c r="S10" s="4" t="s">
        <v>45</v>
      </c>
      <c r="T10" s="4" t="s">
        <v>53</v>
      </c>
      <c r="U10" s="4" t="s">
        <v>73</v>
      </c>
    </row>
    <row r="11" spans="1:21" x14ac:dyDescent="0.25">
      <c r="A11" s="4" t="s">
        <v>74</v>
      </c>
      <c r="B11" s="1">
        <v>45301</v>
      </c>
      <c r="C11" s="4" t="s">
        <v>406</v>
      </c>
      <c r="D11" s="4" t="s">
        <v>409</v>
      </c>
      <c r="E11" s="1">
        <v>45322</v>
      </c>
      <c r="F11" s="4" t="s">
        <v>75</v>
      </c>
      <c r="G11" s="4" t="s">
        <v>50</v>
      </c>
      <c r="H11" s="4" t="s">
        <v>71</v>
      </c>
      <c r="I11" s="4" t="s">
        <v>34</v>
      </c>
      <c r="J11" s="4" t="s">
        <v>25</v>
      </c>
      <c r="K11" s="3">
        <v>358</v>
      </c>
      <c r="L11" s="5">
        <v>61</v>
      </c>
      <c r="M11" s="3">
        <v>21838</v>
      </c>
      <c r="N11" s="3">
        <f>AVERAGE(Mobile_Phone_Sales[[#This Row],[Total_Revenue]]/Mobile_Phone_Sales[[#This Row],[Units_Sold]])</f>
        <v>358</v>
      </c>
      <c r="O11" s="4" t="s">
        <v>26</v>
      </c>
      <c r="P11" s="4" t="s">
        <v>51</v>
      </c>
      <c r="Q11" s="5">
        <v>48</v>
      </c>
      <c r="R11" s="4" t="s">
        <v>59</v>
      </c>
      <c r="S11" s="4" t="s">
        <v>45</v>
      </c>
      <c r="T11" s="4" t="s">
        <v>46</v>
      </c>
      <c r="U11" s="4" t="s">
        <v>76</v>
      </c>
    </row>
    <row r="12" spans="1:21" x14ac:dyDescent="0.25">
      <c r="A12" s="4" t="s">
        <v>77</v>
      </c>
      <c r="B12" s="1">
        <v>45302</v>
      </c>
      <c r="C12" s="4" t="s">
        <v>406</v>
      </c>
      <c r="D12" s="4" t="s">
        <v>410</v>
      </c>
      <c r="E12" s="1">
        <v>45322</v>
      </c>
      <c r="F12" s="4" t="s">
        <v>78</v>
      </c>
      <c r="G12" s="4" t="s">
        <v>22</v>
      </c>
      <c r="H12" s="4" t="s">
        <v>23</v>
      </c>
      <c r="I12" s="4" t="s">
        <v>72</v>
      </c>
      <c r="J12" s="4" t="s">
        <v>25</v>
      </c>
      <c r="K12" s="3">
        <v>704</v>
      </c>
      <c r="L12" s="5">
        <v>82</v>
      </c>
      <c r="M12" s="3">
        <v>57728</v>
      </c>
      <c r="N12" s="3">
        <f>AVERAGE(Mobile_Phone_Sales[[#This Row],[Total_Revenue]]/Mobile_Phone_Sales[[#This Row],[Units_Sold]])</f>
        <v>704</v>
      </c>
      <c r="O12" s="4" t="s">
        <v>26</v>
      </c>
      <c r="P12" s="4" t="s">
        <v>44</v>
      </c>
      <c r="Q12" s="5">
        <v>48</v>
      </c>
      <c r="R12" s="4" t="s">
        <v>59</v>
      </c>
      <c r="S12" s="4" t="s">
        <v>38</v>
      </c>
      <c r="T12" s="4" t="s">
        <v>53</v>
      </c>
      <c r="U12" s="4" t="s">
        <v>62</v>
      </c>
    </row>
    <row r="13" spans="1:21" x14ac:dyDescent="0.25">
      <c r="A13" s="4" t="s">
        <v>79</v>
      </c>
      <c r="B13" s="1">
        <v>45303</v>
      </c>
      <c r="C13" s="4" t="s">
        <v>406</v>
      </c>
      <c r="D13" s="4" t="s">
        <v>411</v>
      </c>
      <c r="E13" s="1">
        <v>45322</v>
      </c>
      <c r="F13" s="4" t="s">
        <v>80</v>
      </c>
      <c r="G13" s="4" t="s">
        <v>42</v>
      </c>
      <c r="H13" s="4" t="s">
        <v>23</v>
      </c>
      <c r="I13" s="4" t="s">
        <v>58</v>
      </c>
      <c r="J13" s="4" t="s">
        <v>25</v>
      </c>
      <c r="K13" s="3">
        <v>556</v>
      </c>
      <c r="L13" s="5">
        <v>67</v>
      </c>
      <c r="M13" s="3">
        <v>37252</v>
      </c>
      <c r="N13" s="3">
        <f>AVERAGE(Mobile_Phone_Sales[[#This Row],[Total_Revenue]]/Mobile_Phone_Sales[[#This Row],[Units_Sold]])</f>
        <v>556</v>
      </c>
      <c r="O13" s="4" t="s">
        <v>26</v>
      </c>
      <c r="P13" s="4" t="s">
        <v>44</v>
      </c>
      <c r="Q13" s="5">
        <v>27</v>
      </c>
      <c r="R13" s="4" t="s">
        <v>52</v>
      </c>
      <c r="S13" s="4" t="s">
        <v>29</v>
      </c>
      <c r="T13" s="4" t="s">
        <v>46</v>
      </c>
      <c r="U13" s="4" t="s">
        <v>60</v>
      </c>
    </row>
    <row r="14" spans="1:21" x14ac:dyDescent="0.25">
      <c r="A14" s="4" t="s">
        <v>81</v>
      </c>
      <c r="B14" s="1">
        <v>45304</v>
      </c>
      <c r="C14" s="4" t="s">
        <v>406</v>
      </c>
      <c r="D14" s="4" t="s">
        <v>412</v>
      </c>
      <c r="E14" s="1">
        <v>45322</v>
      </c>
      <c r="F14" s="4" t="s">
        <v>82</v>
      </c>
      <c r="G14" s="4" t="s">
        <v>50</v>
      </c>
      <c r="H14" s="4" t="s">
        <v>71</v>
      </c>
      <c r="I14" s="4" t="s">
        <v>24</v>
      </c>
      <c r="J14" s="4" t="s">
        <v>25</v>
      </c>
      <c r="K14" s="3">
        <v>534</v>
      </c>
      <c r="L14" s="5">
        <v>77</v>
      </c>
      <c r="M14" s="3">
        <v>41118</v>
      </c>
      <c r="N14" s="3">
        <f>AVERAGE(Mobile_Phone_Sales[[#This Row],[Total_Revenue]]/Mobile_Phone_Sales[[#This Row],[Units_Sold]])</f>
        <v>534</v>
      </c>
      <c r="O14" s="4" t="s">
        <v>26</v>
      </c>
      <c r="P14" s="4" t="s">
        <v>36</v>
      </c>
      <c r="Q14" s="5">
        <v>60</v>
      </c>
      <c r="R14" s="4" t="s">
        <v>66</v>
      </c>
      <c r="S14" s="4" t="s">
        <v>45</v>
      </c>
      <c r="T14" s="4" t="s">
        <v>68</v>
      </c>
      <c r="U14" s="4" t="s">
        <v>83</v>
      </c>
    </row>
    <row r="15" spans="1:21" x14ac:dyDescent="0.25">
      <c r="A15" s="4" t="s">
        <v>84</v>
      </c>
      <c r="B15" s="1">
        <v>45305</v>
      </c>
      <c r="C15" s="4" t="s">
        <v>406</v>
      </c>
      <c r="D15" s="4" t="s">
        <v>413</v>
      </c>
      <c r="E15" s="1">
        <v>45322</v>
      </c>
      <c r="F15" s="4" t="s">
        <v>85</v>
      </c>
      <c r="G15" s="4" t="s">
        <v>22</v>
      </c>
      <c r="H15" s="4" t="s">
        <v>33</v>
      </c>
      <c r="I15" s="4" t="s">
        <v>34</v>
      </c>
      <c r="J15" s="4" t="s">
        <v>25</v>
      </c>
      <c r="K15" s="3">
        <v>1053</v>
      </c>
      <c r="L15" s="5">
        <v>89</v>
      </c>
      <c r="M15" s="3">
        <v>93717</v>
      </c>
      <c r="N15" s="3">
        <f>AVERAGE(Mobile_Phone_Sales[[#This Row],[Total_Revenue]]/Mobile_Phone_Sales[[#This Row],[Units_Sold]])</f>
        <v>1053</v>
      </c>
      <c r="O15" s="4" t="s">
        <v>26</v>
      </c>
      <c r="P15" s="4" t="s">
        <v>36</v>
      </c>
      <c r="Q15" s="5">
        <v>39</v>
      </c>
      <c r="R15" s="4" t="s">
        <v>28</v>
      </c>
      <c r="S15" s="4" t="s">
        <v>45</v>
      </c>
      <c r="T15" s="4" t="s">
        <v>53</v>
      </c>
      <c r="U15" s="4" t="s">
        <v>54</v>
      </c>
    </row>
    <row r="16" spans="1:21" x14ac:dyDescent="0.25">
      <c r="A16" s="4" t="s">
        <v>86</v>
      </c>
      <c r="B16" s="1">
        <v>45306</v>
      </c>
      <c r="C16" s="4" t="s">
        <v>406</v>
      </c>
      <c r="D16" s="4" t="s">
        <v>407</v>
      </c>
      <c r="E16" s="1">
        <v>45322</v>
      </c>
      <c r="F16" s="4" t="s">
        <v>41</v>
      </c>
      <c r="G16" s="4" t="s">
        <v>42</v>
      </c>
      <c r="H16" s="4" t="s">
        <v>23</v>
      </c>
      <c r="I16" s="4" t="s">
        <v>43</v>
      </c>
      <c r="J16" s="4" t="s">
        <v>25</v>
      </c>
      <c r="K16" s="3">
        <v>676</v>
      </c>
      <c r="L16" s="5">
        <v>33</v>
      </c>
      <c r="M16" s="3">
        <v>22308</v>
      </c>
      <c r="N16" s="3">
        <f>AVERAGE(Mobile_Phone_Sales[[#This Row],[Total_Revenue]]/Mobile_Phone_Sales[[#This Row],[Units_Sold]])</f>
        <v>676</v>
      </c>
      <c r="O16" s="4" t="s">
        <v>65</v>
      </c>
      <c r="P16" s="4" t="s">
        <v>36</v>
      </c>
      <c r="Q16" s="5">
        <v>20</v>
      </c>
      <c r="R16" s="4" t="s">
        <v>87</v>
      </c>
      <c r="S16" s="4" t="s">
        <v>45</v>
      </c>
      <c r="T16" s="4" t="s">
        <v>68</v>
      </c>
      <c r="U16" s="4" t="s">
        <v>88</v>
      </c>
    </row>
    <row r="17" spans="1:21" x14ac:dyDescent="0.25">
      <c r="A17" s="4" t="s">
        <v>89</v>
      </c>
      <c r="B17" s="1">
        <v>45307</v>
      </c>
      <c r="C17" s="4" t="s">
        <v>406</v>
      </c>
      <c r="D17" s="4" t="s">
        <v>408</v>
      </c>
      <c r="E17" s="1">
        <v>45322</v>
      </c>
      <c r="F17" s="4" t="s">
        <v>80</v>
      </c>
      <c r="G17" s="4" t="s">
        <v>42</v>
      </c>
      <c r="H17" s="4" t="s">
        <v>23</v>
      </c>
      <c r="I17" s="4" t="s">
        <v>34</v>
      </c>
      <c r="J17" s="4" t="s">
        <v>25</v>
      </c>
      <c r="K17" s="3">
        <v>540</v>
      </c>
      <c r="L17" s="5">
        <v>44</v>
      </c>
      <c r="M17" s="3">
        <v>23760</v>
      </c>
      <c r="N17" s="3">
        <f>AVERAGE(Mobile_Phone_Sales[[#This Row],[Total_Revenue]]/Mobile_Phone_Sales[[#This Row],[Units_Sold]])</f>
        <v>540</v>
      </c>
      <c r="O17" s="4" t="s">
        <v>35</v>
      </c>
      <c r="P17" s="4" t="s">
        <v>51</v>
      </c>
      <c r="Q17" s="5">
        <v>23</v>
      </c>
      <c r="R17" s="4" t="s">
        <v>87</v>
      </c>
      <c r="S17" s="4" t="s">
        <v>29</v>
      </c>
      <c r="T17" s="4" t="s">
        <v>46</v>
      </c>
      <c r="U17" s="4" t="s">
        <v>60</v>
      </c>
    </row>
    <row r="18" spans="1:21" x14ac:dyDescent="0.25">
      <c r="A18" s="4" t="s">
        <v>90</v>
      </c>
      <c r="B18" s="1">
        <v>45308</v>
      </c>
      <c r="C18" s="4" t="s">
        <v>406</v>
      </c>
      <c r="D18" s="4" t="s">
        <v>409</v>
      </c>
      <c r="E18" s="1">
        <v>45322</v>
      </c>
      <c r="F18" s="4" t="s">
        <v>41</v>
      </c>
      <c r="G18" s="4" t="s">
        <v>42</v>
      </c>
      <c r="H18" s="4" t="s">
        <v>71</v>
      </c>
      <c r="I18" s="4" t="s">
        <v>34</v>
      </c>
      <c r="J18" s="4" t="s">
        <v>25</v>
      </c>
      <c r="K18" s="3">
        <v>662</v>
      </c>
      <c r="L18" s="5">
        <v>71</v>
      </c>
      <c r="M18" s="3">
        <v>47002</v>
      </c>
      <c r="N18" s="3">
        <f>AVERAGE(Mobile_Phone_Sales[[#This Row],[Total_Revenue]]/Mobile_Phone_Sales[[#This Row],[Units_Sold]])</f>
        <v>662</v>
      </c>
      <c r="O18" s="4" t="s">
        <v>26</v>
      </c>
      <c r="P18" s="4" t="s">
        <v>51</v>
      </c>
      <c r="Q18" s="5">
        <v>23</v>
      </c>
      <c r="R18" s="4" t="s">
        <v>87</v>
      </c>
      <c r="S18" s="4" t="s">
        <v>29</v>
      </c>
      <c r="T18" s="4" t="s">
        <v>68</v>
      </c>
      <c r="U18" s="4" t="s">
        <v>91</v>
      </c>
    </row>
    <row r="19" spans="1:21" x14ac:dyDescent="0.25">
      <c r="A19" s="4" t="s">
        <v>92</v>
      </c>
      <c r="B19" s="1">
        <v>45309</v>
      </c>
      <c r="C19" s="4" t="s">
        <v>406</v>
      </c>
      <c r="D19" s="4" t="s">
        <v>410</v>
      </c>
      <c r="E19" s="1">
        <v>45322</v>
      </c>
      <c r="F19" s="4" t="s">
        <v>82</v>
      </c>
      <c r="G19" s="4" t="s">
        <v>50</v>
      </c>
      <c r="H19" s="4" t="s">
        <v>71</v>
      </c>
      <c r="I19" s="4" t="s">
        <v>34</v>
      </c>
      <c r="J19" s="4" t="s">
        <v>25</v>
      </c>
      <c r="K19" s="3">
        <v>502</v>
      </c>
      <c r="L19" s="5">
        <v>68</v>
      </c>
      <c r="M19" s="3">
        <v>34136</v>
      </c>
      <c r="N19" s="3">
        <f>AVERAGE(Mobile_Phone_Sales[[#This Row],[Total_Revenue]]/Mobile_Phone_Sales[[#This Row],[Units_Sold]])</f>
        <v>502</v>
      </c>
      <c r="O19" s="4" t="s">
        <v>35</v>
      </c>
      <c r="P19" s="4" t="s">
        <v>44</v>
      </c>
      <c r="Q19" s="5">
        <v>63</v>
      </c>
      <c r="R19" s="4" t="s">
        <v>66</v>
      </c>
      <c r="S19" s="4" t="s">
        <v>45</v>
      </c>
      <c r="T19" s="4" t="s">
        <v>53</v>
      </c>
      <c r="U19" s="4" t="s">
        <v>54</v>
      </c>
    </row>
    <row r="20" spans="1:21" x14ac:dyDescent="0.25">
      <c r="A20" s="4" t="s">
        <v>93</v>
      </c>
      <c r="B20" s="1">
        <v>45310</v>
      </c>
      <c r="C20" s="4" t="s">
        <v>406</v>
      </c>
      <c r="D20" s="4" t="s">
        <v>411</v>
      </c>
      <c r="E20" s="1">
        <v>45322</v>
      </c>
      <c r="F20" s="4" t="s">
        <v>75</v>
      </c>
      <c r="G20" s="4" t="s">
        <v>50</v>
      </c>
      <c r="H20" s="4" t="s">
        <v>33</v>
      </c>
      <c r="I20" s="4" t="s">
        <v>72</v>
      </c>
      <c r="J20" s="4" t="s">
        <v>25</v>
      </c>
      <c r="K20" s="3">
        <v>350</v>
      </c>
      <c r="L20" s="5">
        <v>8</v>
      </c>
      <c r="M20" s="3">
        <v>2800</v>
      </c>
      <c r="N20" s="3">
        <f>AVERAGE(Mobile_Phone_Sales[[#This Row],[Total_Revenue]]/Mobile_Phone_Sales[[#This Row],[Units_Sold]])</f>
        <v>350</v>
      </c>
      <c r="O20" s="4" t="s">
        <v>26</v>
      </c>
      <c r="P20" s="4" t="s">
        <v>27</v>
      </c>
      <c r="Q20" s="5">
        <v>44</v>
      </c>
      <c r="R20" s="4" t="s">
        <v>59</v>
      </c>
      <c r="S20" s="4" t="s">
        <v>38</v>
      </c>
      <c r="T20" s="4" t="s">
        <v>53</v>
      </c>
      <c r="U20" s="4" t="s">
        <v>94</v>
      </c>
    </row>
    <row r="21" spans="1:21" x14ac:dyDescent="0.25">
      <c r="A21" s="4" t="s">
        <v>95</v>
      </c>
      <c r="B21" s="1">
        <v>45311</v>
      </c>
      <c r="C21" s="4" t="s">
        <v>406</v>
      </c>
      <c r="D21" s="4" t="s">
        <v>412</v>
      </c>
      <c r="E21" s="1">
        <v>45322</v>
      </c>
      <c r="F21" s="4" t="s">
        <v>96</v>
      </c>
      <c r="G21" s="4" t="s">
        <v>42</v>
      </c>
      <c r="H21" s="4" t="s">
        <v>23</v>
      </c>
      <c r="I21" s="4" t="s">
        <v>72</v>
      </c>
      <c r="J21" s="4" t="s">
        <v>25</v>
      </c>
      <c r="K21" s="3">
        <v>852</v>
      </c>
      <c r="L21" s="5">
        <v>75</v>
      </c>
      <c r="M21" s="3">
        <v>63900</v>
      </c>
      <c r="N21" s="3">
        <f>AVERAGE(Mobile_Phone_Sales[[#This Row],[Total_Revenue]]/Mobile_Phone_Sales[[#This Row],[Units_Sold]])</f>
        <v>852</v>
      </c>
      <c r="O21" s="4" t="s">
        <v>26</v>
      </c>
      <c r="P21" s="4" t="s">
        <v>36</v>
      </c>
      <c r="Q21" s="5">
        <v>29</v>
      </c>
      <c r="R21" s="4" t="s">
        <v>52</v>
      </c>
      <c r="S21" s="4" t="s">
        <v>45</v>
      </c>
      <c r="T21" s="4" t="s">
        <v>53</v>
      </c>
      <c r="U21" s="4" t="s">
        <v>73</v>
      </c>
    </row>
    <row r="22" spans="1:21" x14ac:dyDescent="0.25">
      <c r="A22" s="4" t="s">
        <v>97</v>
      </c>
      <c r="B22" s="1">
        <v>45312</v>
      </c>
      <c r="C22" s="4" t="s">
        <v>406</v>
      </c>
      <c r="D22" s="4" t="s">
        <v>413</v>
      </c>
      <c r="E22" s="1">
        <v>45322</v>
      </c>
      <c r="F22" s="4" t="s">
        <v>80</v>
      </c>
      <c r="G22" s="4" t="s">
        <v>42</v>
      </c>
      <c r="H22" s="4" t="s">
        <v>71</v>
      </c>
      <c r="I22" s="4" t="s">
        <v>24</v>
      </c>
      <c r="J22" s="4" t="s">
        <v>25</v>
      </c>
      <c r="K22" s="3">
        <v>579</v>
      </c>
      <c r="L22" s="5">
        <v>90</v>
      </c>
      <c r="M22" s="3">
        <v>52110</v>
      </c>
      <c r="N22" s="3">
        <f>AVERAGE(Mobile_Phone_Sales[[#This Row],[Total_Revenue]]/Mobile_Phone_Sales[[#This Row],[Units_Sold]])</f>
        <v>579</v>
      </c>
      <c r="O22" s="4" t="s">
        <v>26</v>
      </c>
      <c r="P22" s="4" t="s">
        <v>51</v>
      </c>
      <c r="Q22" s="5">
        <v>47</v>
      </c>
      <c r="R22" s="4" t="s">
        <v>59</v>
      </c>
      <c r="S22" s="4" t="s">
        <v>45</v>
      </c>
      <c r="T22" s="4" t="s">
        <v>68</v>
      </c>
      <c r="U22" s="4" t="s">
        <v>98</v>
      </c>
    </row>
    <row r="23" spans="1:21" x14ac:dyDescent="0.25">
      <c r="A23" s="4" t="s">
        <v>99</v>
      </c>
      <c r="B23" s="1">
        <v>45313</v>
      </c>
      <c r="C23" s="4" t="s">
        <v>406</v>
      </c>
      <c r="D23" s="4" t="s">
        <v>407</v>
      </c>
      <c r="E23" s="1">
        <v>45322</v>
      </c>
      <c r="F23" s="4" t="s">
        <v>41</v>
      </c>
      <c r="G23" s="4" t="s">
        <v>42</v>
      </c>
      <c r="H23" s="4" t="s">
        <v>23</v>
      </c>
      <c r="I23" s="4" t="s">
        <v>72</v>
      </c>
      <c r="J23" s="4" t="s">
        <v>25</v>
      </c>
      <c r="K23" s="3">
        <v>697</v>
      </c>
      <c r="L23" s="5">
        <v>87</v>
      </c>
      <c r="M23" s="3">
        <v>60639</v>
      </c>
      <c r="N23" s="3">
        <f>AVERAGE(Mobile_Phone_Sales[[#This Row],[Total_Revenue]]/Mobile_Phone_Sales[[#This Row],[Units_Sold]])</f>
        <v>697</v>
      </c>
      <c r="O23" s="4" t="s">
        <v>65</v>
      </c>
      <c r="P23" s="4" t="s">
        <v>44</v>
      </c>
      <c r="Q23" s="5">
        <v>63</v>
      </c>
      <c r="R23" s="4" t="s">
        <v>66</v>
      </c>
      <c r="S23" s="4" t="s">
        <v>29</v>
      </c>
      <c r="T23" s="4" t="s">
        <v>53</v>
      </c>
      <c r="U23" s="4" t="s">
        <v>100</v>
      </c>
    </row>
    <row r="24" spans="1:21" x14ac:dyDescent="0.25">
      <c r="A24" s="4" t="s">
        <v>101</v>
      </c>
      <c r="B24" s="1">
        <v>45314</v>
      </c>
      <c r="C24" s="4" t="s">
        <v>406</v>
      </c>
      <c r="D24" s="4" t="s">
        <v>408</v>
      </c>
      <c r="E24" s="1">
        <v>45322</v>
      </c>
      <c r="F24" s="4" t="s">
        <v>102</v>
      </c>
      <c r="G24" s="4" t="s">
        <v>103</v>
      </c>
      <c r="H24" s="4" t="s">
        <v>33</v>
      </c>
      <c r="I24" s="4" t="s">
        <v>24</v>
      </c>
      <c r="J24" s="4" t="s">
        <v>104</v>
      </c>
      <c r="K24" s="3">
        <v>1002</v>
      </c>
      <c r="L24" s="5">
        <v>64</v>
      </c>
      <c r="M24" s="3">
        <v>64128</v>
      </c>
      <c r="N24" s="3">
        <f>AVERAGE(Mobile_Phone_Sales[[#This Row],[Total_Revenue]]/Mobile_Phone_Sales[[#This Row],[Units_Sold]])</f>
        <v>1002</v>
      </c>
      <c r="O24" s="4" t="s">
        <v>35</v>
      </c>
      <c r="P24" s="4" t="s">
        <v>51</v>
      </c>
      <c r="Q24" s="5">
        <v>57</v>
      </c>
      <c r="R24" s="4" t="s">
        <v>37</v>
      </c>
      <c r="S24" s="4" t="s">
        <v>38</v>
      </c>
      <c r="T24" s="4" t="s">
        <v>46</v>
      </c>
      <c r="U24" s="4" t="s">
        <v>76</v>
      </c>
    </row>
    <row r="25" spans="1:21" x14ac:dyDescent="0.25">
      <c r="A25" s="4" t="s">
        <v>105</v>
      </c>
      <c r="B25" s="1">
        <v>45315</v>
      </c>
      <c r="C25" s="4" t="s">
        <v>406</v>
      </c>
      <c r="D25" s="4" t="s">
        <v>409</v>
      </c>
      <c r="E25" s="1">
        <v>45322</v>
      </c>
      <c r="F25" s="4" t="s">
        <v>64</v>
      </c>
      <c r="G25" s="4" t="s">
        <v>50</v>
      </c>
      <c r="H25" s="4" t="s">
        <v>23</v>
      </c>
      <c r="I25" s="4" t="s">
        <v>58</v>
      </c>
      <c r="J25" s="4" t="s">
        <v>25</v>
      </c>
      <c r="K25" s="3">
        <v>824</v>
      </c>
      <c r="L25" s="5">
        <v>88</v>
      </c>
      <c r="M25" s="3">
        <v>72512</v>
      </c>
      <c r="N25" s="3">
        <f>AVERAGE(Mobile_Phone_Sales[[#This Row],[Total_Revenue]]/Mobile_Phone_Sales[[#This Row],[Units_Sold]])</f>
        <v>824</v>
      </c>
      <c r="O25" s="4" t="s">
        <v>26</v>
      </c>
      <c r="P25" s="4" t="s">
        <v>36</v>
      </c>
      <c r="Q25" s="5">
        <v>42</v>
      </c>
      <c r="R25" s="4" t="s">
        <v>59</v>
      </c>
      <c r="S25" s="4" t="s">
        <v>45</v>
      </c>
      <c r="T25" s="4" t="s">
        <v>53</v>
      </c>
      <c r="U25" s="4" t="s">
        <v>100</v>
      </c>
    </row>
    <row r="26" spans="1:21" x14ac:dyDescent="0.25">
      <c r="A26" s="4" t="s">
        <v>106</v>
      </c>
      <c r="B26" s="1">
        <v>45316</v>
      </c>
      <c r="C26" s="4" t="s">
        <v>406</v>
      </c>
      <c r="D26" s="4" t="s">
        <v>410</v>
      </c>
      <c r="E26" s="1">
        <v>45322</v>
      </c>
      <c r="F26" s="4" t="s">
        <v>80</v>
      </c>
      <c r="G26" s="4" t="s">
        <v>42</v>
      </c>
      <c r="H26" s="4" t="s">
        <v>71</v>
      </c>
      <c r="I26" s="4" t="s">
        <v>43</v>
      </c>
      <c r="J26" s="4" t="s">
        <v>25</v>
      </c>
      <c r="K26" s="3">
        <v>567</v>
      </c>
      <c r="L26" s="5">
        <v>92</v>
      </c>
      <c r="M26" s="3">
        <v>52164</v>
      </c>
      <c r="N26" s="3">
        <f>AVERAGE(Mobile_Phone_Sales[[#This Row],[Total_Revenue]]/Mobile_Phone_Sales[[#This Row],[Units_Sold]])</f>
        <v>567</v>
      </c>
      <c r="O26" s="4" t="s">
        <v>26</v>
      </c>
      <c r="P26" s="4" t="s">
        <v>36</v>
      </c>
      <c r="Q26" s="5">
        <v>31</v>
      </c>
      <c r="R26" s="4" t="s">
        <v>52</v>
      </c>
      <c r="S26" s="4" t="s">
        <v>29</v>
      </c>
      <c r="T26" s="4" t="s">
        <v>53</v>
      </c>
      <c r="U26" s="4" t="s">
        <v>54</v>
      </c>
    </row>
    <row r="27" spans="1:21" x14ac:dyDescent="0.25">
      <c r="A27" s="4" t="s">
        <v>107</v>
      </c>
      <c r="B27" s="1">
        <v>45317</v>
      </c>
      <c r="C27" s="4" t="s">
        <v>406</v>
      </c>
      <c r="D27" s="4" t="s">
        <v>411</v>
      </c>
      <c r="E27" s="1">
        <v>45322</v>
      </c>
      <c r="F27" s="4" t="s">
        <v>41</v>
      </c>
      <c r="G27" s="4" t="s">
        <v>42</v>
      </c>
      <c r="H27" s="4" t="s">
        <v>33</v>
      </c>
      <c r="I27" s="4" t="s">
        <v>34</v>
      </c>
      <c r="J27" s="4" t="s">
        <v>25</v>
      </c>
      <c r="K27" s="3">
        <v>672</v>
      </c>
      <c r="L27" s="5">
        <v>93</v>
      </c>
      <c r="M27" s="3">
        <v>62496</v>
      </c>
      <c r="N27" s="3">
        <f>AVERAGE(Mobile_Phone_Sales[[#This Row],[Total_Revenue]]/Mobile_Phone_Sales[[#This Row],[Units_Sold]])</f>
        <v>672</v>
      </c>
      <c r="O27" s="4" t="s">
        <v>26</v>
      </c>
      <c r="P27" s="4" t="s">
        <v>51</v>
      </c>
      <c r="Q27" s="5">
        <v>42</v>
      </c>
      <c r="R27" s="4" t="s">
        <v>59</v>
      </c>
      <c r="S27" s="4" t="s">
        <v>29</v>
      </c>
      <c r="T27" s="4" t="s">
        <v>53</v>
      </c>
      <c r="U27" s="4" t="s">
        <v>100</v>
      </c>
    </row>
    <row r="28" spans="1:21" x14ac:dyDescent="0.25">
      <c r="A28" s="4" t="s">
        <v>108</v>
      </c>
      <c r="B28" s="1">
        <v>45318</v>
      </c>
      <c r="C28" s="4" t="s">
        <v>406</v>
      </c>
      <c r="D28" s="4" t="s">
        <v>412</v>
      </c>
      <c r="E28" s="1">
        <v>45322</v>
      </c>
      <c r="F28" s="4" t="s">
        <v>102</v>
      </c>
      <c r="G28" s="4" t="s">
        <v>103</v>
      </c>
      <c r="H28" s="4" t="s">
        <v>33</v>
      </c>
      <c r="I28" s="4" t="s">
        <v>24</v>
      </c>
      <c r="J28" s="4" t="s">
        <v>104</v>
      </c>
      <c r="K28" s="3">
        <v>1059</v>
      </c>
      <c r="L28" s="5">
        <v>54</v>
      </c>
      <c r="M28" s="3">
        <v>57186</v>
      </c>
      <c r="N28" s="3">
        <f>AVERAGE(Mobile_Phone_Sales[[#This Row],[Total_Revenue]]/Mobile_Phone_Sales[[#This Row],[Units_Sold]])</f>
        <v>1059</v>
      </c>
      <c r="O28" s="4" t="s">
        <v>65</v>
      </c>
      <c r="P28" s="4" t="s">
        <v>44</v>
      </c>
      <c r="Q28" s="5">
        <v>24</v>
      </c>
      <c r="R28" s="4" t="s">
        <v>87</v>
      </c>
      <c r="S28" s="4" t="s">
        <v>45</v>
      </c>
      <c r="T28" s="4" t="s">
        <v>53</v>
      </c>
      <c r="U28" s="4" t="s">
        <v>54</v>
      </c>
    </row>
    <row r="29" spans="1:21" x14ac:dyDescent="0.25">
      <c r="A29" s="4" t="s">
        <v>109</v>
      </c>
      <c r="B29" s="1">
        <v>45319</v>
      </c>
      <c r="C29" s="4" t="s">
        <v>406</v>
      </c>
      <c r="D29" s="4" t="s">
        <v>413</v>
      </c>
      <c r="E29" s="1">
        <v>45322</v>
      </c>
      <c r="F29" s="4" t="s">
        <v>82</v>
      </c>
      <c r="G29" s="4" t="s">
        <v>50</v>
      </c>
      <c r="H29" s="4" t="s">
        <v>33</v>
      </c>
      <c r="I29" s="4" t="s">
        <v>24</v>
      </c>
      <c r="J29" s="4" t="s">
        <v>25</v>
      </c>
      <c r="K29" s="3">
        <v>533</v>
      </c>
      <c r="L29" s="5">
        <v>13</v>
      </c>
      <c r="M29" s="3">
        <v>6929</v>
      </c>
      <c r="N29" s="3">
        <f>AVERAGE(Mobile_Phone_Sales[[#This Row],[Total_Revenue]]/Mobile_Phone_Sales[[#This Row],[Units_Sold]])</f>
        <v>533</v>
      </c>
      <c r="O29" s="4" t="s">
        <v>65</v>
      </c>
      <c r="P29" s="4" t="s">
        <v>36</v>
      </c>
      <c r="Q29" s="5">
        <v>22</v>
      </c>
      <c r="R29" s="4" t="s">
        <v>87</v>
      </c>
      <c r="S29" s="4" t="s">
        <v>45</v>
      </c>
      <c r="T29" s="4" t="s">
        <v>68</v>
      </c>
      <c r="U29" s="4" t="s">
        <v>83</v>
      </c>
    </row>
    <row r="30" spans="1:21" x14ac:dyDescent="0.25">
      <c r="A30" s="4" t="s">
        <v>110</v>
      </c>
      <c r="B30" s="1">
        <v>45320</v>
      </c>
      <c r="C30" s="4" t="s">
        <v>406</v>
      </c>
      <c r="D30" s="4" t="s">
        <v>407</v>
      </c>
      <c r="E30" s="1">
        <v>45322</v>
      </c>
      <c r="F30" s="4" t="s">
        <v>78</v>
      </c>
      <c r="G30" s="4" t="s">
        <v>22</v>
      </c>
      <c r="H30" s="4" t="s">
        <v>23</v>
      </c>
      <c r="I30" s="4" t="s">
        <v>24</v>
      </c>
      <c r="J30" s="4" t="s">
        <v>25</v>
      </c>
      <c r="K30" s="3">
        <v>737</v>
      </c>
      <c r="L30" s="5">
        <v>54</v>
      </c>
      <c r="M30" s="3">
        <v>39798</v>
      </c>
      <c r="N30" s="3">
        <f>AVERAGE(Mobile_Phone_Sales[[#This Row],[Total_Revenue]]/Mobile_Phone_Sales[[#This Row],[Units_Sold]])</f>
        <v>737</v>
      </c>
      <c r="O30" s="4" t="s">
        <v>26</v>
      </c>
      <c r="P30" s="4" t="s">
        <v>27</v>
      </c>
      <c r="Q30" s="5">
        <v>26</v>
      </c>
      <c r="R30" s="4" t="s">
        <v>52</v>
      </c>
      <c r="S30" s="4" t="s">
        <v>45</v>
      </c>
      <c r="T30" s="4" t="s">
        <v>46</v>
      </c>
      <c r="U30" s="4" t="s">
        <v>111</v>
      </c>
    </row>
    <row r="31" spans="1:21" x14ac:dyDescent="0.25">
      <c r="A31" s="4" t="s">
        <v>112</v>
      </c>
      <c r="B31" s="1">
        <v>45321</v>
      </c>
      <c r="C31" s="4" t="s">
        <v>406</v>
      </c>
      <c r="D31" s="4" t="s">
        <v>408</v>
      </c>
      <c r="E31" s="1">
        <v>45322</v>
      </c>
      <c r="F31" s="4" t="s">
        <v>41</v>
      </c>
      <c r="G31" s="4" t="s">
        <v>42</v>
      </c>
      <c r="H31" s="4" t="s">
        <v>33</v>
      </c>
      <c r="I31" s="4" t="s">
        <v>58</v>
      </c>
      <c r="J31" s="4" t="s">
        <v>25</v>
      </c>
      <c r="K31" s="3">
        <v>699</v>
      </c>
      <c r="L31" s="5">
        <v>39</v>
      </c>
      <c r="M31" s="3">
        <v>27261</v>
      </c>
      <c r="N31" s="3">
        <f>AVERAGE(Mobile_Phone_Sales[[#This Row],[Total_Revenue]]/Mobile_Phone_Sales[[#This Row],[Units_Sold]])</f>
        <v>699</v>
      </c>
      <c r="O31" s="4" t="s">
        <v>26</v>
      </c>
      <c r="P31" s="4" t="s">
        <v>36</v>
      </c>
      <c r="Q31" s="5">
        <v>29</v>
      </c>
      <c r="R31" s="4" t="s">
        <v>52</v>
      </c>
      <c r="S31" s="4" t="s">
        <v>45</v>
      </c>
      <c r="T31" s="4" t="s">
        <v>53</v>
      </c>
      <c r="U31" s="4" t="s">
        <v>62</v>
      </c>
    </row>
    <row r="32" spans="1:21" x14ac:dyDescent="0.25">
      <c r="A32" s="4" t="s">
        <v>113</v>
      </c>
      <c r="B32" s="1">
        <v>45322</v>
      </c>
      <c r="C32" s="4" t="s">
        <v>406</v>
      </c>
      <c r="D32" s="4" t="s">
        <v>409</v>
      </c>
      <c r="E32" s="1">
        <v>45322</v>
      </c>
      <c r="F32" s="4" t="s">
        <v>21</v>
      </c>
      <c r="G32" s="4" t="s">
        <v>22</v>
      </c>
      <c r="H32" s="4" t="s">
        <v>71</v>
      </c>
      <c r="I32" s="4" t="s">
        <v>72</v>
      </c>
      <c r="J32" s="4" t="s">
        <v>25</v>
      </c>
      <c r="K32" s="3">
        <v>533</v>
      </c>
      <c r="L32" s="5">
        <v>90</v>
      </c>
      <c r="M32" s="3">
        <v>47970</v>
      </c>
      <c r="N32" s="3">
        <f>AVERAGE(Mobile_Phone_Sales[[#This Row],[Total_Revenue]]/Mobile_Phone_Sales[[#This Row],[Units_Sold]])</f>
        <v>533</v>
      </c>
      <c r="O32" s="4" t="s">
        <v>35</v>
      </c>
      <c r="P32" s="4" t="s">
        <v>44</v>
      </c>
      <c r="Q32" s="5">
        <v>51</v>
      </c>
      <c r="R32" s="4" t="s">
        <v>37</v>
      </c>
      <c r="S32" s="4" t="s">
        <v>45</v>
      </c>
      <c r="T32" s="4" t="s">
        <v>53</v>
      </c>
      <c r="U32" s="4" t="s">
        <v>94</v>
      </c>
    </row>
    <row r="33" spans="1:21" x14ac:dyDescent="0.25">
      <c r="A33" s="4" t="s">
        <v>114</v>
      </c>
      <c r="B33" s="1">
        <v>45323</v>
      </c>
      <c r="C33" s="4" t="s">
        <v>414</v>
      </c>
      <c r="D33" s="4" t="s">
        <v>410</v>
      </c>
      <c r="E33" s="1">
        <v>45351</v>
      </c>
      <c r="F33" s="4" t="s">
        <v>56</v>
      </c>
      <c r="G33" s="4" t="s">
        <v>57</v>
      </c>
      <c r="H33" s="4" t="s">
        <v>33</v>
      </c>
      <c r="I33" s="4" t="s">
        <v>72</v>
      </c>
      <c r="J33" s="4" t="s">
        <v>25</v>
      </c>
      <c r="K33" s="3">
        <v>1834</v>
      </c>
      <c r="L33" s="5">
        <v>28</v>
      </c>
      <c r="M33" s="3">
        <v>51352</v>
      </c>
      <c r="N33" s="3">
        <f>AVERAGE(Mobile_Phone_Sales[[#This Row],[Total_Revenue]]/Mobile_Phone_Sales[[#This Row],[Units_Sold]])</f>
        <v>1834</v>
      </c>
      <c r="O33" s="4" t="s">
        <v>35</v>
      </c>
      <c r="P33" s="4" t="s">
        <v>51</v>
      </c>
      <c r="Q33" s="5">
        <v>32</v>
      </c>
      <c r="R33" s="4" t="s">
        <v>52</v>
      </c>
      <c r="S33" s="4" t="s">
        <v>38</v>
      </c>
      <c r="T33" s="4" t="s">
        <v>53</v>
      </c>
      <c r="U33" s="4" t="s">
        <v>73</v>
      </c>
    </row>
    <row r="34" spans="1:21" x14ac:dyDescent="0.25">
      <c r="A34" s="4" t="s">
        <v>115</v>
      </c>
      <c r="B34" s="1">
        <v>45324</v>
      </c>
      <c r="C34" s="4" t="s">
        <v>414</v>
      </c>
      <c r="D34" s="4" t="s">
        <v>411</v>
      </c>
      <c r="E34" s="1">
        <v>45351</v>
      </c>
      <c r="F34" s="4" t="s">
        <v>116</v>
      </c>
      <c r="G34" s="4" t="s">
        <v>57</v>
      </c>
      <c r="H34" s="4" t="s">
        <v>23</v>
      </c>
      <c r="I34" s="4" t="s">
        <v>72</v>
      </c>
      <c r="J34" s="4" t="s">
        <v>25</v>
      </c>
      <c r="K34" s="3">
        <v>1293</v>
      </c>
      <c r="L34" s="5">
        <v>2</v>
      </c>
      <c r="M34" s="3">
        <v>2586</v>
      </c>
      <c r="N34" s="3">
        <f>AVERAGE(Mobile_Phone_Sales[[#This Row],[Total_Revenue]]/Mobile_Phone_Sales[[#This Row],[Units_Sold]])</f>
        <v>1293</v>
      </c>
      <c r="O34" s="4" t="s">
        <v>65</v>
      </c>
      <c r="P34" s="4" t="s">
        <v>36</v>
      </c>
      <c r="Q34" s="5">
        <v>36</v>
      </c>
      <c r="R34" s="4" t="s">
        <v>28</v>
      </c>
      <c r="S34" s="4" t="s">
        <v>45</v>
      </c>
      <c r="T34" s="4" t="s">
        <v>68</v>
      </c>
      <c r="U34" s="4" t="s">
        <v>69</v>
      </c>
    </row>
    <row r="35" spans="1:21" x14ac:dyDescent="0.25">
      <c r="A35" s="4" t="s">
        <v>117</v>
      </c>
      <c r="B35" s="1">
        <v>45325</v>
      </c>
      <c r="C35" s="4" t="s">
        <v>414</v>
      </c>
      <c r="D35" s="4" t="s">
        <v>412</v>
      </c>
      <c r="E35" s="1">
        <v>45351</v>
      </c>
      <c r="F35" s="4" t="s">
        <v>102</v>
      </c>
      <c r="G35" s="4" t="s">
        <v>103</v>
      </c>
      <c r="H35" s="4" t="s">
        <v>71</v>
      </c>
      <c r="I35" s="4" t="s">
        <v>43</v>
      </c>
      <c r="J35" s="4" t="s">
        <v>104</v>
      </c>
      <c r="K35" s="3">
        <v>1021</v>
      </c>
      <c r="L35" s="5">
        <v>94</v>
      </c>
      <c r="M35" s="3">
        <v>95974</v>
      </c>
      <c r="N35" s="3">
        <f>AVERAGE(Mobile_Phone_Sales[[#This Row],[Total_Revenue]]/Mobile_Phone_Sales[[#This Row],[Units_Sold]])</f>
        <v>1021</v>
      </c>
      <c r="O35" s="4" t="s">
        <v>65</v>
      </c>
      <c r="P35" s="4" t="s">
        <v>36</v>
      </c>
      <c r="Q35" s="5">
        <v>55</v>
      </c>
      <c r="R35" s="4" t="s">
        <v>37</v>
      </c>
      <c r="S35" s="4" t="s">
        <v>45</v>
      </c>
      <c r="T35" s="4" t="s">
        <v>46</v>
      </c>
      <c r="U35" s="4" t="s">
        <v>118</v>
      </c>
    </row>
    <row r="36" spans="1:21" x14ac:dyDescent="0.25">
      <c r="A36" s="4" t="s">
        <v>119</v>
      </c>
      <c r="B36" s="1">
        <v>45326</v>
      </c>
      <c r="C36" s="4" t="s">
        <v>414</v>
      </c>
      <c r="D36" s="4" t="s">
        <v>413</v>
      </c>
      <c r="E36" s="1">
        <v>45351</v>
      </c>
      <c r="F36" s="4" t="s">
        <v>120</v>
      </c>
      <c r="G36" s="4" t="s">
        <v>57</v>
      </c>
      <c r="H36" s="4" t="s">
        <v>23</v>
      </c>
      <c r="I36" s="4" t="s">
        <v>43</v>
      </c>
      <c r="J36" s="4" t="s">
        <v>25</v>
      </c>
      <c r="K36" s="3">
        <v>362</v>
      </c>
      <c r="L36" s="5">
        <v>52</v>
      </c>
      <c r="M36" s="3">
        <v>18824</v>
      </c>
      <c r="N36" s="3">
        <f>AVERAGE(Mobile_Phone_Sales[[#This Row],[Total_Revenue]]/Mobile_Phone_Sales[[#This Row],[Units_Sold]])</f>
        <v>362</v>
      </c>
      <c r="O36" s="4" t="s">
        <v>65</v>
      </c>
      <c r="P36" s="4" t="s">
        <v>36</v>
      </c>
      <c r="Q36" s="5">
        <v>30</v>
      </c>
      <c r="R36" s="4" t="s">
        <v>52</v>
      </c>
      <c r="S36" s="4" t="s">
        <v>29</v>
      </c>
      <c r="T36" s="4" t="s">
        <v>68</v>
      </c>
      <c r="U36" s="4" t="s">
        <v>121</v>
      </c>
    </row>
    <row r="37" spans="1:21" x14ac:dyDescent="0.25">
      <c r="A37" s="4" t="s">
        <v>122</v>
      </c>
      <c r="B37" s="1">
        <v>45327</v>
      </c>
      <c r="C37" s="4" t="s">
        <v>414</v>
      </c>
      <c r="D37" s="4" t="s">
        <v>407</v>
      </c>
      <c r="E37" s="1">
        <v>45351</v>
      </c>
      <c r="F37" s="4" t="s">
        <v>116</v>
      </c>
      <c r="G37" s="4" t="s">
        <v>57</v>
      </c>
      <c r="H37" s="4" t="s">
        <v>23</v>
      </c>
      <c r="I37" s="4" t="s">
        <v>43</v>
      </c>
      <c r="J37" s="4" t="s">
        <v>25</v>
      </c>
      <c r="K37" s="3">
        <v>1269</v>
      </c>
      <c r="L37" s="5">
        <v>78</v>
      </c>
      <c r="M37" s="3">
        <v>98982</v>
      </c>
      <c r="N37" s="3">
        <f>AVERAGE(Mobile_Phone_Sales[[#This Row],[Total_Revenue]]/Mobile_Phone_Sales[[#This Row],[Units_Sold]])</f>
        <v>1269</v>
      </c>
      <c r="O37" s="4" t="s">
        <v>35</v>
      </c>
      <c r="P37" s="4" t="s">
        <v>27</v>
      </c>
      <c r="Q37" s="5">
        <v>47</v>
      </c>
      <c r="R37" s="4" t="s">
        <v>59</v>
      </c>
      <c r="S37" s="4" t="s">
        <v>45</v>
      </c>
      <c r="T37" s="4" t="s">
        <v>68</v>
      </c>
      <c r="U37" s="4" t="s">
        <v>69</v>
      </c>
    </row>
    <row r="38" spans="1:21" x14ac:dyDescent="0.25">
      <c r="A38" s="4" t="s">
        <v>123</v>
      </c>
      <c r="B38" s="1">
        <v>45328</v>
      </c>
      <c r="C38" s="4" t="s">
        <v>414</v>
      </c>
      <c r="D38" s="4" t="s">
        <v>408</v>
      </c>
      <c r="E38" s="1">
        <v>45351</v>
      </c>
      <c r="F38" s="4" t="s">
        <v>96</v>
      </c>
      <c r="G38" s="4" t="s">
        <v>42</v>
      </c>
      <c r="H38" s="4" t="s">
        <v>23</v>
      </c>
      <c r="I38" s="4" t="s">
        <v>24</v>
      </c>
      <c r="J38" s="4" t="s">
        <v>25</v>
      </c>
      <c r="K38" s="3">
        <v>854</v>
      </c>
      <c r="L38" s="5">
        <v>37</v>
      </c>
      <c r="M38" s="3">
        <v>31598</v>
      </c>
      <c r="N38" s="3">
        <f>AVERAGE(Mobile_Phone_Sales[[#This Row],[Total_Revenue]]/Mobile_Phone_Sales[[#This Row],[Units_Sold]])</f>
        <v>854</v>
      </c>
      <c r="O38" s="4" t="s">
        <v>26</v>
      </c>
      <c r="P38" s="4" t="s">
        <v>51</v>
      </c>
      <c r="Q38" s="5">
        <v>44</v>
      </c>
      <c r="R38" s="4" t="s">
        <v>59</v>
      </c>
      <c r="S38" s="4" t="s">
        <v>29</v>
      </c>
      <c r="T38" s="4" t="s">
        <v>53</v>
      </c>
      <c r="U38" s="4" t="s">
        <v>94</v>
      </c>
    </row>
    <row r="39" spans="1:21" x14ac:dyDescent="0.25">
      <c r="A39" s="4" t="s">
        <v>124</v>
      </c>
      <c r="B39" s="1">
        <v>45329</v>
      </c>
      <c r="C39" s="4" t="s">
        <v>414</v>
      </c>
      <c r="D39" s="4" t="s">
        <v>409</v>
      </c>
      <c r="E39" s="1">
        <v>45351</v>
      </c>
      <c r="F39" s="4" t="s">
        <v>120</v>
      </c>
      <c r="G39" s="4" t="s">
        <v>57</v>
      </c>
      <c r="H39" s="4" t="s">
        <v>71</v>
      </c>
      <c r="I39" s="4" t="s">
        <v>24</v>
      </c>
      <c r="J39" s="4" t="s">
        <v>25</v>
      </c>
      <c r="K39" s="3">
        <v>367</v>
      </c>
      <c r="L39" s="5">
        <v>51</v>
      </c>
      <c r="M39" s="3">
        <v>18717</v>
      </c>
      <c r="N39" s="3">
        <f>AVERAGE(Mobile_Phone_Sales[[#This Row],[Total_Revenue]]/Mobile_Phone_Sales[[#This Row],[Units_Sold]])</f>
        <v>367</v>
      </c>
      <c r="O39" s="4" t="s">
        <v>26</v>
      </c>
      <c r="P39" s="4" t="s">
        <v>44</v>
      </c>
      <c r="Q39" s="5">
        <v>18</v>
      </c>
      <c r="R39" s="4" t="s">
        <v>87</v>
      </c>
      <c r="S39" s="4" t="s">
        <v>29</v>
      </c>
      <c r="T39" s="4" t="s">
        <v>68</v>
      </c>
      <c r="U39" s="4" t="s">
        <v>69</v>
      </c>
    </row>
    <row r="40" spans="1:21" x14ac:dyDescent="0.25">
      <c r="A40" s="4" t="s">
        <v>125</v>
      </c>
      <c r="B40" s="1">
        <v>45330</v>
      </c>
      <c r="C40" s="4" t="s">
        <v>414</v>
      </c>
      <c r="D40" s="4" t="s">
        <v>410</v>
      </c>
      <c r="E40" s="1">
        <v>45351</v>
      </c>
      <c r="F40" s="4" t="s">
        <v>126</v>
      </c>
      <c r="G40" s="4" t="s">
        <v>103</v>
      </c>
      <c r="H40" s="4" t="s">
        <v>23</v>
      </c>
      <c r="I40" s="4" t="s">
        <v>34</v>
      </c>
      <c r="J40" s="4" t="s">
        <v>104</v>
      </c>
      <c r="K40" s="3">
        <v>823</v>
      </c>
      <c r="L40" s="5">
        <v>86</v>
      </c>
      <c r="M40" s="3">
        <v>70778</v>
      </c>
      <c r="N40" s="3">
        <f>AVERAGE(Mobile_Phone_Sales[[#This Row],[Total_Revenue]]/Mobile_Phone_Sales[[#This Row],[Units_Sold]])</f>
        <v>823</v>
      </c>
      <c r="O40" s="4" t="s">
        <v>65</v>
      </c>
      <c r="P40" s="4" t="s">
        <v>36</v>
      </c>
      <c r="Q40" s="5">
        <v>28</v>
      </c>
      <c r="R40" s="4" t="s">
        <v>52</v>
      </c>
      <c r="S40" s="4" t="s">
        <v>38</v>
      </c>
      <c r="T40" s="4" t="s">
        <v>68</v>
      </c>
      <c r="U40" s="4" t="s">
        <v>127</v>
      </c>
    </row>
    <row r="41" spans="1:21" x14ac:dyDescent="0.25">
      <c r="A41" s="4" t="s">
        <v>128</v>
      </c>
      <c r="B41" s="1">
        <v>45332</v>
      </c>
      <c r="C41" s="4" t="s">
        <v>414</v>
      </c>
      <c r="D41" s="4" t="s">
        <v>412</v>
      </c>
      <c r="E41" s="1">
        <v>45351</v>
      </c>
      <c r="F41" s="4" t="s">
        <v>129</v>
      </c>
      <c r="G41" s="4" t="s">
        <v>103</v>
      </c>
      <c r="H41" s="4" t="s">
        <v>71</v>
      </c>
      <c r="I41" s="4" t="s">
        <v>34</v>
      </c>
      <c r="J41" s="4" t="s">
        <v>104</v>
      </c>
      <c r="K41" s="3">
        <v>1134</v>
      </c>
      <c r="L41" s="5">
        <v>54</v>
      </c>
      <c r="M41" s="3">
        <v>61236</v>
      </c>
      <c r="N41" s="3">
        <f>AVERAGE(Mobile_Phone_Sales[[#This Row],[Total_Revenue]]/Mobile_Phone_Sales[[#This Row],[Units_Sold]])</f>
        <v>1134</v>
      </c>
      <c r="O41" s="4" t="s">
        <v>26</v>
      </c>
      <c r="P41" s="4" t="s">
        <v>44</v>
      </c>
      <c r="Q41" s="5">
        <v>27</v>
      </c>
      <c r="R41" s="4" t="s">
        <v>52</v>
      </c>
      <c r="S41" s="4" t="s">
        <v>29</v>
      </c>
      <c r="T41" s="4" t="s">
        <v>53</v>
      </c>
      <c r="U41" s="4" t="s">
        <v>54</v>
      </c>
    </row>
    <row r="42" spans="1:21" x14ac:dyDescent="0.25">
      <c r="A42" s="4" t="s">
        <v>130</v>
      </c>
      <c r="B42" s="1">
        <v>45333</v>
      </c>
      <c r="C42" s="4" t="s">
        <v>414</v>
      </c>
      <c r="D42" s="4" t="s">
        <v>413</v>
      </c>
      <c r="E42" s="1">
        <v>45351</v>
      </c>
      <c r="F42" s="4" t="s">
        <v>131</v>
      </c>
      <c r="G42" s="4" t="s">
        <v>103</v>
      </c>
      <c r="H42" s="4" t="s">
        <v>33</v>
      </c>
      <c r="I42" s="4" t="s">
        <v>58</v>
      </c>
      <c r="J42" s="4" t="s">
        <v>104</v>
      </c>
      <c r="K42" s="3">
        <v>885</v>
      </c>
      <c r="L42" s="5">
        <v>29</v>
      </c>
      <c r="M42" s="3">
        <v>25665</v>
      </c>
      <c r="N42" s="3">
        <f>AVERAGE(Mobile_Phone_Sales[[#This Row],[Total_Revenue]]/Mobile_Phone_Sales[[#This Row],[Units_Sold]])</f>
        <v>885</v>
      </c>
      <c r="O42" s="4" t="s">
        <v>65</v>
      </c>
      <c r="P42" s="4" t="s">
        <v>27</v>
      </c>
      <c r="Q42" s="5">
        <v>53</v>
      </c>
      <c r="R42" s="4" t="s">
        <v>37</v>
      </c>
      <c r="S42" s="4" t="s">
        <v>29</v>
      </c>
      <c r="T42" s="4" t="s">
        <v>68</v>
      </c>
      <c r="U42" s="4" t="s">
        <v>132</v>
      </c>
    </row>
    <row r="43" spans="1:21" x14ac:dyDescent="0.25">
      <c r="A43" s="4" t="s">
        <v>133</v>
      </c>
      <c r="B43" s="1">
        <v>45334</v>
      </c>
      <c r="C43" s="4" t="s">
        <v>414</v>
      </c>
      <c r="D43" s="4" t="s">
        <v>407</v>
      </c>
      <c r="E43" s="1">
        <v>45351</v>
      </c>
      <c r="F43" s="4" t="s">
        <v>75</v>
      </c>
      <c r="G43" s="4" t="s">
        <v>50</v>
      </c>
      <c r="H43" s="4" t="s">
        <v>71</v>
      </c>
      <c r="I43" s="4" t="s">
        <v>58</v>
      </c>
      <c r="J43" s="4" t="s">
        <v>25</v>
      </c>
      <c r="K43" s="3">
        <v>358</v>
      </c>
      <c r="L43" s="5">
        <v>5</v>
      </c>
      <c r="M43" s="3">
        <v>1790</v>
      </c>
      <c r="N43" s="3">
        <f>AVERAGE(Mobile_Phone_Sales[[#This Row],[Total_Revenue]]/Mobile_Phone_Sales[[#This Row],[Units_Sold]])</f>
        <v>358</v>
      </c>
      <c r="O43" s="4" t="s">
        <v>65</v>
      </c>
      <c r="P43" s="4" t="s">
        <v>27</v>
      </c>
      <c r="Q43" s="5">
        <v>46</v>
      </c>
      <c r="R43" s="4" t="s">
        <v>59</v>
      </c>
      <c r="S43" s="4" t="s">
        <v>29</v>
      </c>
      <c r="T43" s="4" t="s">
        <v>53</v>
      </c>
      <c r="U43" s="4" t="s">
        <v>94</v>
      </c>
    </row>
    <row r="44" spans="1:21" x14ac:dyDescent="0.25">
      <c r="A44" s="4" t="s">
        <v>134</v>
      </c>
      <c r="B44" s="1">
        <v>45335</v>
      </c>
      <c r="C44" s="4" t="s">
        <v>414</v>
      </c>
      <c r="D44" s="4" t="s">
        <v>408</v>
      </c>
      <c r="E44" s="1">
        <v>45351</v>
      </c>
      <c r="F44" s="4" t="s">
        <v>56</v>
      </c>
      <c r="G44" s="4" t="s">
        <v>57</v>
      </c>
      <c r="H44" s="4" t="s">
        <v>23</v>
      </c>
      <c r="I44" s="4" t="s">
        <v>43</v>
      </c>
      <c r="J44" s="4" t="s">
        <v>25</v>
      </c>
      <c r="K44" s="3">
        <v>1845</v>
      </c>
      <c r="L44" s="5">
        <v>81</v>
      </c>
      <c r="M44" s="3">
        <v>149445</v>
      </c>
      <c r="N44" s="3">
        <f>AVERAGE(Mobile_Phone_Sales[[#This Row],[Total_Revenue]]/Mobile_Phone_Sales[[#This Row],[Units_Sold]])</f>
        <v>1845</v>
      </c>
      <c r="O44" s="4" t="s">
        <v>26</v>
      </c>
      <c r="P44" s="4" t="s">
        <v>44</v>
      </c>
      <c r="Q44" s="5">
        <v>27</v>
      </c>
      <c r="R44" s="4" t="s">
        <v>52</v>
      </c>
      <c r="S44" s="4" t="s">
        <v>45</v>
      </c>
      <c r="T44" s="4" t="s">
        <v>53</v>
      </c>
      <c r="U44" s="4" t="s">
        <v>54</v>
      </c>
    </row>
    <row r="45" spans="1:21" x14ac:dyDescent="0.25">
      <c r="A45" s="4" t="s">
        <v>135</v>
      </c>
      <c r="B45" s="1">
        <v>45336</v>
      </c>
      <c r="C45" s="4" t="s">
        <v>414</v>
      </c>
      <c r="D45" s="4" t="s">
        <v>409</v>
      </c>
      <c r="E45" s="1">
        <v>45351</v>
      </c>
      <c r="F45" s="4" t="s">
        <v>116</v>
      </c>
      <c r="G45" s="4" t="s">
        <v>57</v>
      </c>
      <c r="H45" s="4" t="s">
        <v>71</v>
      </c>
      <c r="I45" s="4" t="s">
        <v>34</v>
      </c>
      <c r="J45" s="4" t="s">
        <v>25</v>
      </c>
      <c r="K45" s="3">
        <v>1277</v>
      </c>
      <c r="L45" s="5">
        <v>6</v>
      </c>
      <c r="M45" s="3">
        <v>7662</v>
      </c>
      <c r="N45" s="3">
        <f>AVERAGE(Mobile_Phone_Sales[[#This Row],[Total_Revenue]]/Mobile_Phone_Sales[[#This Row],[Units_Sold]])</f>
        <v>1277</v>
      </c>
      <c r="O45" s="4" t="s">
        <v>35</v>
      </c>
      <c r="P45" s="4" t="s">
        <v>44</v>
      </c>
      <c r="Q45" s="5">
        <v>40</v>
      </c>
      <c r="R45" s="4" t="s">
        <v>28</v>
      </c>
      <c r="S45" s="4" t="s">
        <v>45</v>
      </c>
      <c r="T45" s="4" t="s">
        <v>53</v>
      </c>
      <c r="U45" s="4" t="s">
        <v>54</v>
      </c>
    </row>
    <row r="46" spans="1:21" x14ac:dyDescent="0.25">
      <c r="A46" s="4" t="s">
        <v>136</v>
      </c>
      <c r="B46" s="1">
        <v>45337</v>
      </c>
      <c r="C46" s="4" t="s">
        <v>414</v>
      </c>
      <c r="D46" s="4" t="s">
        <v>410</v>
      </c>
      <c r="E46" s="1">
        <v>45351</v>
      </c>
      <c r="F46" s="4" t="s">
        <v>96</v>
      </c>
      <c r="G46" s="4" t="s">
        <v>42</v>
      </c>
      <c r="H46" s="4" t="s">
        <v>33</v>
      </c>
      <c r="I46" s="4" t="s">
        <v>43</v>
      </c>
      <c r="J46" s="4" t="s">
        <v>25</v>
      </c>
      <c r="K46" s="3">
        <v>821</v>
      </c>
      <c r="L46" s="5">
        <v>69</v>
      </c>
      <c r="M46" s="3">
        <v>56649</v>
      </c>
      <c r="N46" s="3">
        <f>AVERAGE(Mobile_Phone_Sales[[#This Row],[Total_Revenue]]/Mobile_Phone_Sales[[#This Row],[Units_Sold]])</f>
        <v>821</v>
      </c>
      <c r="O46" s="4" t="s">
        <v>65</v>
      </c>
      <c r="P46" s="4" t="s">
        <v>27</v>
      </c>
      <c r="Q46" s="5">
        <v>36</v>
      </c>
      <c r="R46" s="4" t="s">
        <v>28</v>
      </c>
      <c r="S46" s="4" t="s">
        <v>45</v>
      </c>
      <c r="T46" s="4" t="s">
        <v>53</v>
      </c>
      <c r="U46" s="4" t="s">
        <v>73</v>
      </c>
    </row>
    <row r="47" spans="1:21" x14ac:dyDescent="0.25">
      <c r="A47" s="4" t="s">
        <v>137</v>
      </c>
      <c r="B47" s="1">
        <v>45338</v>
      </c>
      <c r="C47" s="4" t="s">
        <v>414</v>
      </c>
      <c r="D47" s="4" t="s">
        <v>411</v>
      </c>
      <c r="E47" s="1">
        <v>45351</v>
      </c>
      <c r="F47" s="4" t="s">
        <v>120</v>
      </c>
      <c r="G47" s="4" t="s">
        <v>57</v>
      </c>
      <c r="H47" s="4" t="s">
        <v>33</v>
      </c>
      <c r="I47" s="4" t="s">
        <v>72</v>
      </c>
      <c r="J47" s="4" t="s">
        <v>25</v>
      </c>
      <c r="K47" s="3">
        <v>321</v>
      </c>
      <c r="L47" s="5">
        <v>55</v>
      </c>
      <c r="M47" s="3">
        <v>17655</v>
      </c>
      <c r="N47" s="3">
        <f>AVERAGE(Mobile_Phone_Sales[[#This Row],[Total_Revenue]]/Mobile_Phone_Sales[[#This Row],[Units_Sold]])</f>
        <v>321</v>
      </c>
      <c r="O47" s="4" t="s">
        <v>26</v>
      </c>
      <c r="P47" s="4" t="s">
        <v>51</v>
      </c>
      <c r="Q47" s="5">
        <v>33</v>
      </c>
      <c r="R47" s="4" t="s">
        <v>52</v>
      </c>
      <c r="S47" s="4" t="s">
        <v>45</v>
      </c>
      <c r="T47" s="4" t="s">
        <v>68</v>
      </c>
      <c r="U47" s="4" t="s">
        <v>91</v>
      </c>
    </row>
    <row r="48" spans="1:21" x14ac:dyDescent="0.25">
      <c r="A48" s="4" t="s">
        <v>138</v>
      </c>
      <c r="B48" s="1">
        <v>45339</v>
      </c>
      <c r="C48" s="4" t="s">
        <v>414</v>
      </c>
      <c r="D48" s="4" t="s">
        <v>412</v>
      </c>
      <c r="E48" s="1">
        <v>45351</v>
      </c>
      <c r="F48" s="4" t="s">
        <v>116</v>
      </c>
      <c r="G48" s="4" t="s">
        <v>57</v>
      </c>
      <c r="H48" s="4" t="s">
        <v>33</v>
      </c>
      <c r="I48" s="4" t="s">
        <v>34</v>
      </c>
      <c r="J48" s="4" t="s">
        <v>25</v>
      </c>
      <c r="K48" s="3">
        <v>1208</v>
      </c>
      <c r="L48" s="5">
        <v>75</v>
      </c>
      <c r="M48" s="3">
        <v>90600</v>
      </c>
      <c r="N48" s="3">
        <f>AVERAGE(Mobile_Phone_Sales[[#This Row],[Total_Revenue]]/Mobile_Phone_Sales[[#This Row],[Units_Sold]])</f>
        <v>1208</v>
      </c>
      <c r="O48" s="4" t="s">
        <v>65</v>
      </c>
      <c r="P48" s="4" t="s">
        <v>44</v>
      </c>
      <c r="Q48" s="5">
        <v>44</v>
      </c>
      <c r="R48" s="4" t="s">
        <v>59</v>
      </c>
      <c r="S48" s="4" t="s">
        <v>45</v>
      </c>
      <c r="T48" s="4" t="s">
        <v>68</v>
      </c>
      <c r="U48" s="4" t="s">
        <v>98</v>
      </c>
    </row>
    <row r="49" spans="1:21" x14ac:dyDescent="0.25">
      <c r="A49" s="4" t="s">
        <v>139</v>
      </c>
      <c r="B49" s="1">
        <v>45340</v>
      </c>
      <c r="C49" s="4" t="s">
        <v>414</v>
      </c>
      <c r="D49" s="4" t="s">
        <v>413</v>
      </c>
      <c r="E49" s="1">
        <v>45351</v>
      </c>
      <c r="F49" s="4" t="s">
        <v>78</v>
      </c>
      <c r="G49" s="4" t="s">
        <v>22</v>
      </c>
      <c r="H49" s="4" t="s">
        <v>33</v>
      </c>
      <c r="I49" s="4" t="s">
        <v>43</v>
      </c>
      <c r="J49" s="4" t="s">
        <v>25</v>
      </c>
      <c r="K49" s="3">
        <v>757</v>
      </c>
      <c r="L49" s="5">
        <v>1</v>
      </c>
      <c r="M49" s="3">
        <v>757</v>
      </c>
      <c r="N49" s="3">
        <f>AVERAGE(Mobile_Phone_Sales[[#This Row],[Total_Revenue]]/Mobile_Phone_Sales[[#This Row],[Units_Sold]])</f>
        <v>757</v>
      </c>
      <c r="O49" s="4" t="s">
        <v>65</v>
      </c>
      <c r="P49" s="4" t="s">
        <v>51</v>
      </c>
      <c r="Q49" s="5">
        <v>22</v>
      </c>
      <c r="R49" s="4" t="s">
        <v>87</v>
      </c>
      <c r="S49" s="4" t="s">
        <v>45</v>
      </c>
      <c r="T49" s="4" t="s">
        <v>53</v>
      </c>
      <c r="U49" s="4" t="s">
        <v>54</v>
      </c>
    </row>
    <row r="50" spans="1:21" x14ac:dyDescent="0.25">
      <c r="A50" s="4" t="s">
        <v>140</v>
      </c>
      <c r="B50" s="1">
        <v>45341</v>
      </c>
      <c r="C50" s="4" t="s">
        <v>414</v>
      </c>
      <c r="D50" s="4" t="s">
        <v>407</v>
      </c>
      <c r="E50" s="1">
        <v>45351</v>
      </c>
      <c r="F50" s="4" t="s">
        <v>116</v>
      </c>
      <c r="G50" s="4" t="s">
        <v>57</v>
      </c>
      <c r="H50" s="4" t="s">
        <v>33</v>
      </c>
      <c r="I50" s="4" t="s">
        <v>43</v>
      </c>
      <c r="J50" s="4" t="s">
        <v>25</v>
      </c>
      <c r="K50" s="3">
        <v>1207</v>
      </c>
      <c r="L50" s="5">
        <v>51</v>
      </c>
      <c r="M50" s="3">
        <v>61557</v>
      </c>
      <c r="N50" s="3">
        <f>AVERAGE(Mobile_Phone_Sales[[#This Row],[Total_Revenue]]/Mobile_Phone_Sales[[#This Row],[Units_Sold]])</f>
        <v>1207</v>
      </c>
      <c r="O50" s="4" t="s">
        <v>65</v>
      </c>
      <c r="P50" s="4" t="s">
        <v>27</v>
      </c>
      <c r="Q50" s="5">
        <v>55</v>
      </c>
      <c r="R50" s="4" t="s">
        <v>37</v>
      </c>
      <c r="S50" s="4" t="s">
        <v>29</v>
      </c>
      <c r="T50" s="4" t="s">
        <v>53</v>
      </c>
      <c r="U50" s="4" t="s">
        <v>62</v>
      </c>
    </row>
    <row r="51" spans="1:21" x14ac:dyDescent="0.25">
      <c r="A51" s="4" t="s">
        <v>141</v>
      </c>
      <c r="B51" s="1">
        <v>45342</v>
      </c>
      <c r="C51" s="4" t="s">
        <v>414</v>
      </c>
      <c r="D51" s="4" t="s">
        <v>408</v>
      </c>
      <c r="E51" s="1">
        <v>45351</v>
      </c>
      <c r="F51" s="4" t="s">
        <v>85</v>
      </c>
      <c r="G51" s="4" t="s">
        <v>22</v>
      </c>
      <c r="H51" s="4" t="s">
        <v>71</v>
      </c>
      <c r="I51" s="4" t="s">
        <v>58</v>
      </c>
      <c r="J51" s="4" t="s">
        <v>25</v>
      </c>
      <c r="K51" s="3">
        <v>1061</v>
      </c>
      <c r="L51" s="5">
        <v>88</v>
      </c>
      <c r="M51" s="3">
        <v>93368</v>
      </c>
      <c r="N51" s="3">
        <f>AVERAGE(Mobile_Phone_Sales[[#This Row],[Total_Revenue]]/Mobile_Phone_Sales[[#This Row],[Units_Sold]])</f>
        <v>1061</v>
      </c>
      <c r="O51" s="4" t="s">
        <v>26</v>
      </c>
      <c r="P51" s="4" t="s">
        <v>44</v>
      </c>
      <c r="Q51" s="5">
        <v>63</v>
      </c>
      <c r="R51" s="4" t="s">
        <v>66</v>
      </c>
      <c r="S51" s="4" t="s">
        <v>45</v>
      </c>
      <c r="T51" s="4" t="s">
        <v>68</v>
      </c>
      <c r="U51" s="4" t="s">
        <v>91</v>
      </c>
    </row>
    <row r="52" spans="1:21" x14ac:dyDescent="0.25">
      <c r="A52" s="4" t="s">
        <v>142</v>
      </c>
      <c r="B52" s="1">
        <v>45343</v>
      </c>
      <c r="C52" s="4" t="s">
        <v>414</v>
      </c>
      <c r="D52" s="4" t="s">
        <v>409</v>
      </c>
      <c r="E52" s="1">
        <v>45351</v>
      </c>
      <c r="F52" s="4" t="s">
        <v>131</v>
      </c>
      <c r="G52" s="4" t="s">
        <v>103</v>
      </c>
      <c r="H52" s="4" t="s">
        <v>71</v>
      </c>
      <c r="I52" s="4" t="s">
        <v>34</v>
      </c>
      <c r="J52" s="4" t="s">
        <v>104</v>
      </c>
      <c r="K52" s="3">
        <v>856</v>
      </c>
      <c r="L52" s="5">
        <v>33</v>
      </c>
      <c r="M52" s="3">
        <v>28248</v>
      </c>
      <c r="N52" s="3">
        <f>AVERAGE(Mobile_Phone_Sales[[#This Row],[Total_Revenue]]/Mobile_Phone_Sales[[#This Row],[Units_Sold]])</f>
        <v>856</v>
      </c>
      <c r="O52" s="4" t="s">
        <v>35</v>
      </c>
      <c r="P52" s="4" t="s">
        <v>27</v>
      </c>
      <c r="Q52" s="5">
        <v>31</v>
      </c>
      <c r="R52" s="4" t="s">
        <v>52</v>
      </c>
      <c r="S52" s="4" t="s">
        <v>45</v>
      </c>
      <c r="T52" s="4" t="s">
        <v>53</v>
      </c>
      <c r="U52" s="4" t="s">
        <v>94</v>
      </c>
    </row>
    <row r="53" spans="1:21" x14ac:dyDescent="0.25">
      <c r="A53" s="4" t="s">
        <v>143</v>
      </c>
      <c r="B53" s="1">
        <v>45344</v>
      </c>
      <c r="C53" s="4" t="s">
        <v>414</v>
      </c>
      <c r="D53" s="4" t="s">
        <v>410</v>
      </c>
      <c r="E53" s="1">
        <v>45351</v>
      </c>
      <c r="F53" s="4" t="s">
        <v>116</v>
      </c>
      <c r="G53" s="4" t="s">
        <v>57</v>
      </c>
      <c r="H53" s="4" t="s">
        <v>23</v>
      </c>
      <c r="I53" s="4" t="s">
        <v>58</v>
      </c>
      <c r="J53" s="4" t="s">
        <v>25</v>
      </c>
      <c r="K53" s="3">
        <v>1248</v>
      </c>
      <c r="L53" s="5">
        <v>4</v>
      </c>
      <c r="M53" s="3">
        <v>4992</v>
      </c>
      <c r="N53" s="3">
        <f>AVERAGE(Mobile_Phone_Sales[[#This Row],[Total_Revenue]]/Mobile_Phone_Sales[[#This Row],[Units_Sold]])</f>
        <v>1248</v>
      </c>
      <c r="O53" s="4" t="s">
        <v>65</v>
      </c>
      <c r="P53" s="4" t="s">
        <v>44</v>
      </c>
      <c r="Q53" s="5">
        <v>35</v>
      </c>
      <c r="R53" s="4" t="s">
        <v>28</v>
      </c>
      <c r="S53" s="4" t="s">
        <v>29</v>
      </c>
      <c r="T53" s="4" t="s">
        <v>68</v>
      </c>
      <c r="U53" s="4" t="s">
        <v>88</v>
      </c>
    </row>
    <row r="54" spans="1:21" x14ac:dyDescent="0.25">
      <c r="A54" s="4" t="s">
        <v>144</v>
      </c>
      <c r="B54" s="1">
        <v>45345</v>
      </c>
      <c r="C54" s="4" t="s">
        <v>414</v>
      </c>
      <c r="D54" s="4" t="s">
        <v>411</v>
      </c>
      <c r="E54" s="1">
        <v>45351</v>
      </c>
      <c r="F54" s="4" t="s">
        <v>56</v>
      </c>
      <c r="G54" s="4" t="s">
        <v>57</v>
      </c>
      <c r="H54" s="4" t="s">
        <v>33</v>
      </c>
      <c r="I54" s="4" t="s">
        <v>72</v>
      </c>
      <c r="J54" s="4" t="s">
        <v>25</v>
      </c>
      <c r="K54" s="3">
        <v>1858</v>
      </c>
      <c r="L54" s="5">
        <v>17</v>
      </c>
      <c r="M54" s="3">
        <v>31586</v>
      </c>
      <c r="N54" s="3">
        <f>AVERAGE(Mobile_Phone_Sales[[#This Row],[Total_Revenue]]/Mobile_Phone_Sales[[#This Row],[Units_Sold]])</f>
        <v>1858</v>
      </c>
      <c r="O54" s="4" t="s">
        <v>26</v>
      </c>
      <c r="P54" s="4" t="s">
        <v>44</v>
      </c>
      <c r="Q54" s="5">
        <v>27</v>
      </c>
      <c r="R54" s="4" t="s">
        <v>52</v>
      </c>
      <c r="S54" s="4" t="s">
        <v>45</v>
      </c>
      <c r="T54" s="4" t="s">
        <v>46</v>
      </c>
      <c r="U54" s="4" t="s">
        <v>111</v>
      </c>
    </row>
    <row r="55" spans="1:21" x14ac:dyDescent="0.25">
      <c r="A55" s="4" t="s">
        <v>145</v>
      </c>
      <c r="B55" s="1">
        <v>45346</v>
      </c>
      <c r="C55" s="4" t="s">
        <v>414</v>
      </c>
      <c r="D55" s="4" t="s">
        <v>412</v>
      </c>
      <c r="E55" s="1">
        <v>45351</v>
      </c>
      <c r="F55" s="4" t="s">
        <v>146</v>
      </c>
      <c r="G55" s="4" t="s">
        <v>57</v>
      </c>
      <c r="H55" s="4" t="s">
        <v>33</v>
      </c>
      <c r="I55" s="4" t="s">
        <v>24</v>
      </c>
      <c r="J55" s="4" t="s">
        <v>25</v>
      </c>
      <c r="K55" s="3">
        <v>422</v>
      </c>
      <c r="L55" s="5">
        <v>29</v>
      </c>
      <c r="M55" s="3">
        <v>12238</v>
      </c>
      <c r="N55" s="3">
        <f>AVERAGE(Mobile_Phone_Sales[[#This Row],[Total_Revenue]]/Mobile_Phone_Sales[[#This Row],[Units_Sold]])</f>
        <v>422</v>
      </c>
      <c r="O55" s="4" t="s">
        <v>26</v>
      </c>
      <c r="P55" s="4" t="s">
        <v>27</v>
      </c>
      <c r="Q55" s="5">
        <v>48</v>
      </c>
      <c r="R55" s="4" t="s">
        <v>59</v>
      </c>
      <c r="S55" s="4" t="s">
        <v>29</v>
      </c>
      <c r="T55" s="4" t="s">
        <v>68</v>
      </c>
      <c r="U55" s="4" t="s">
        <v>69</v>
      </c>
    </row>
    <row r="56" spans="1:21" x14ac:dyDescent="0.25">
      <c r="A56" s="4" t="s">
        <v>147</v>
      </c>
      <c r="B56" s="1">
        <v>45347</v>
      </c>
      <c r="C56" s="4" t="s">
        <v>414</v>
      </c>
      <c r="D56" s="4" t="s">
        <v>413</v>
      </c>
      <c r="E56" s="1">
        <v>45351</v>
      </c>
      <c r="F56" s="4" t="s">
        <v>116</v>
      </c>
      <c r="G56" s="4" t="s">
        <v>57</v>
      </c>
      <c r="H56" s="4" t="s">
        <v>71</v>
      </c>
      <c r="I56" s="4" t="s">
        <v>72</v>
      </c>
      <c r="J56" s="4" t="s">
        <v>25</v>
      </c>
      <c r="K56" s="3">
        <v>1204</v>
      </c>
      <c r="L56" s="5">
        <v>88</v>
      </c>
      <c r="M56" s="3">
        <v>105952</v>
      </c>
      <c r="N56" s="3">
        <f>AVERAGE(Mobile_Phone_Sales[[#This Row],[Total_Revenue]]/Mobile_Phone_Sales[[#This Row],[Units_Sold]])</f>
        <v>1204</v>
      </c>
      <c r="O56" s="4" t="s">
        <v>26</v>
      </c>
      <c r="P56" s="4" t="s">
        <v>27</v>
      </c>
      <c r="Q56" s="5">
        <v>25</v>
      </c>
      <c r="R56" s="4" t="s">
        <v>87</v>
      </c>
      <c r="S56" s="4" t="s">
        <v>45</v>
      </c>
      <c r="T56" s="4" t="s">
        <v>30</v>
      </c>
      <c r="U56" s="4" t="s">
        <v>148</v>
      </c>
    </row>
    <row r="57" spans="1:21" x14ac:dyDescent="0.25">
      <c r="A57" s="4" t="s">
        <v>149</v>
      </c>
      <c r="B57" s="1">
        <v>45348</v>
      </c>
      <c r="C57" s="4" t="s">
        <v>414</v>
      </c>
      <c r="D57" s="4" t="s">
        <v>407</v>
      </c>
      <c r="E57" s="1">
        <v>45351</v>
      </c>
      <c r="F57" s="4" t="s">
        <v>96</v>
      </c>
      <c r="G57" s="4" t="s">
        <v>42</v>
      </c>
      <c r="H57" s="4" t="s">
        <v>33</v>
      </c>
      <c r="I57" s="4" t="s">
        <v>43</v>
      </c>
      <c r="J57" s="4" t="s">
        <v>25</v>
      </c>
      <c r="K57" s="3">
        <v>895</v>
      </c>
      <c r="L57" s="5">
        <v>83</v>
      </c>
      <c r="M57" s="3">
        <v>74285</v>
      </c>
      <c r="N57" s="3">
        <f>AVERAGE(Mobile_Phone_Sales[[#This Row],[Total_Revenue]]/Mobile_Phone_Sales[[#This Row],[Units_Sold]])</f>
        <v>895</v>
      </c>
      <c r="O57" s="4" t="s">
        <v>26</v>
      </c>
      <c r="P57" s="4" t="s">
        <v>51</v>
      </c>
      <c r="Q57" s="5">
        <v>40</v>
      </c>
      <c r="R57" s="4" t="s">
        <v>28</v>
      </c>
      <c r="S57" s="4" t="s">
        <v>29</v>
      </c>
      <c r="T57" s="4" t="s">
        <v>68</v>
      </c>
      <c r="U57" s="4" t="s">
        <v>132</v>
      </c>
    </row>
    <row r="58" spans="1:21" x14ac:dyDescent="0.25">
      <c r="A58" s="4" t="s">
        <v>150</v>
      </c>
      <c r="B58" s="1">
        <v>45349</v>
      </c>
      <c r="C58" s="4" t="s">
        <v>414</v>
      </c>
      <c r="D58" s="4" t="s">
        <v>408</v>
      </c>
      <c r="E58" s="1">
        <v>45351</v>
      </c>
      <c r="F58" s="4" t="s">
        <v>85</v>
      </c>
      <c r="G58" s="4" t="s">
        <v>22</v>
      </c>
      <c r="H58" s="4" t="s">
        <v>33</v>
      </c>
      <c r="I58" s="4" t="s">
        <v>58</v>
      </c>
      <c r="J58" s="4" t="s">
        <v>25</v>
      </c>
      <c r="K58" s="3">
        <v>1040</v>
      </c>
      <c r="L58" s="5">
        <v>69</v>
      </c>
      <c r="M58" s="3">
        <v>71760</v>
      </c>
      <c r="N58" s="3">
        <f>AVERAGE(Mobile_Phone_Sales[[#This Row],[Total_Revenue]]/Mobile_Phone_Sales[[#This Row],[Units_Sold]])</f>
        <v>1040</v>
      </c>
      <c r="O58" s="4" t="s">
        <v>65</v>
      </c>
      <c r="P58" s="4" t="s">
        <v>44</v>
      </c>
      <c r="Q58" s="5">
        <v>54</v>
      </c>
      <c r="R58" s="4" t="s">
        <v>37</v>
      </c>
      <c r="S58" s="4" t="s">
        <v>38</v>
      </c>
      <c r="T58" s="4" t="s">
        <v>68</v>
      </c>
      <c r="U58" s="4" t="s">
        <v>121</v>
      </c>
    </row>
    <row r="59" spans="1:21" x14ac:dyDescent="0.25">
      <c r="A59" s="4" t="s">
        <v>151</v>
      </c>
      <c r="B59" s="1">
        <v>45350</v>
      </c>
      <c r="C59" s="4" t="s">
        <v>414</v>
      </c>
      <c r="D59" s="4" t="s">
        <v>409</v>
      </c>
      <c r="E59" s="1">
        <v>45351</v>
      </c>
      <c r="F59" s="4" t="s">
        <v>129</v>
      </c>
      <c r="G59" s="4" t="s">
        <v>103</v>
      </c>
      <c r="H59" s="4" t="s">
        <v>33</v>
      </c>
      <c r="I59" s="4" t="s">
        <v>72</v>
      </c>
      <c r="J59" s="4" t="s">
        <v>104</v>
      </c>
      <c r="K59" s="3">
        <v>1131</v>
      </c>
      <c r="L59" s="5">
        <v>26</v>
      </c>
      <c r="M59" s="3">
        <v>29406</v>
      </c>
      <c r="N59" s="3">
        <f>AVERAGE(Mobile_Phone_Sales[[#This Row],[Total_Revenue]]/Mobile_Phone_Sales[[#This Row],[Units_Sold]])</f>
        <v>1131</v>
      </c>
      <c r="O59" s="4" t="s">
        <v>65</v>
      </c>
      <c r="P59" s="4" t="s">
        <v>44</v>
      </c>
      <c r="Q59" s="5">
        <v>41</v>
      </c>
      <c r="R59" s="4" t="s">
        <v>28</v>
      </c>
      <c r="S59" s="4" t="s">
        <v>45</v>
      </c>
      <c r="T59" s="4" t="s">
        <v>53</v>
      </c>
      <c r="U59" s="4" t="s">
        <v>62</v>
      </c>
    </row>
    <row r="60" spans="1:21" x14ac:dyDescent="0.25">
      <c r="A60" s="4" t="s">
        <v>152</v>
      </c>
      <c r="B60" s="1">
        <v>45351</v>
      </c>
      <c r="C60" s="4" t="s">
        <v>414</v>
      </c>
      <c r="D60" s="4" t="s">
        <v>410</v>
      </c>
      <c r="E60" s="1">
        <v>45351</v>
      </c>
      <c r="F60" s="4" t="s">
        <v>75</v>
      </c>
      <c r="G60" s="4" t="s">
        <v>50</v>
      </c>
      <c r="H60" s="4" t="s">
        <v>71</v>
      </c>
      <c r="I60" s="4" t="s">
        <v>58</v>
      </c>
      <c r="J60" s="4" t="s">
        <v>25</v>
      </c>
      <c r="K60" s="3">
        <v>397</v>
      </c>
      <c r="L60" s="5">
        <v>81</v>
      </c>
      <c r="M60" s="3">
        <v>32157</v>
      </c>
      <c r="N60" s="3">
        <f>AVERAGE(Mobile_Phone_Sales[[#This Row],[Total_Revenue]]/Mobile_Phone_Sales[[#This Row],[Units_Sold]])</f>
        <v>397</v>
      </c>
      <c r="O60" s="4" t="s">
        <v>65</v>
      </c>
      <c r="P60" s="4" t="s">
        <v>44</v>
      </c>
      <c r="Q60" s="5">
        <v>23</v>
      </c>
      <c r="R60" s="4" t="s">
        <v>87</v>
      </c>
      <c r="S60" s="4" t="s">
        <v>29</v>
      </c>
      <c r="T60" s="4" t="s">
        <v>46</v>
      </c>
      <c r="U60" s="4" t="s">
        <v>118</v>
      </c>
    </row>
    <row r="61" spans="1:21" x14ac:dyDescent="0.25">
      <c r="A61" s="4" t="s">
        <v>153</v>
      </c>
      <c r="B61" s="1">
        <v>45352</v>
      </c>
      <c r="C61" s="4" t="s">
        <v>415</v>
      </c>
      <c r="D61" s="4" t="s">
        <v>411</v>
      </c>
      <c r="E61" s="1">
        <v>45382</v>
      </c>
      <c r="F61" s="4" t="s">
        <v>78</v>
      </c>
      <c r="G61" s="4" t="s">
        <v>22</v>
      </c>
      <c r="H61" s="4" t="s">
        <v>71</v>
      </c>
      <c r="I61" s="4" t="s">
        <v>24</v>
      </c>
      <c r="J61" s="4" t="s">
        <v>25</v>
      </c>
      <c r="K61" s="3">
        <v>770</v>
      </c>
      <c r="L61" s="5">
        <v>91</v>
      </c>
      <c r="M61" s="3">
        <v>70070</v>
      </c>
      <c r="N61" s="3">
        <f>AVERAGE(Mobile_Phone_Sales[[#This Row],[Total_Revenue]]/Mobile_Phone_Sales[[#This Row],[Units_Sold]])</f>
        <v>770</v>
      </c>
      <c r="O61" s="4" t="s">
        <v>65</v>
      </c>
      <c r="P61" s="4" t="s">
        <v>36</v>
      </c>
      <c r="Q61" s="5">
        <v>64</v>
      </c>
      <c r="R61" s="4" t="s">
        <v>66</v>
      </c>
      <c r="S61" s="4" t="s">
        <v>29</v>
      </c>
      <c r="T61" s="4" t="s">
        <v>68</v>
      </c>
      <c r="U61" s="4" t="s">
        <v>98</v>
      </c>
    </row>
    <row r="62" spans="1:21" x14ac:dyDescent="0.25">
      <c r="A62" s="4" t="s">
        <v>154</v>
      </c>
      <c r="B62" s="1">
        <v>45353</v>
      </c>
      <c r="C62" s="4" t="s">
        <v>415</v>
      </c>
      <c r="D62" s="4" t="s">
        <v>412</v>
      </c>
      <c r="E62" s="1">
        <v>45382</v>
      </c>
      <c r="F62" s="4" t="s">
        <v>56</v>
      </c>
      <c r="G62" s="4" t="s">
        <v>57</v>
      </c>
      <c r="H62" s="4" t="s">
        <v>23</v>
      </c>
      <c r="I62" s="4" t="s">
        <v>34</v>
      </c>
      <c r="J62" s="4" t="s">
        <v>25</v>
      </c>
      <c r="K62" s="3">
        <v>1856</v>
      </c>
      <c r="L62" s="5">
        <v>62</v>
      </c>
      <c r="M62" s="3">
        <v>115072</v>
      </c>
      <c r="N62" s="3">
        <f>AVERAGE(Mobile_Phone_Sales[[#This Row],[Total_Revenue]]/Mobile_Phone_Sales[[#This Row],[Units_Sold]])</f>
        <v>1856</v>
      </c>
      <c r="O62" s="4" t="s">
        <v>26</v>
      </c>
      <c r="P62" s="4" t="s">
        <v>27</v>
      </c>
      <c r="Q62" s="5">
        <v>36</v>
      </c>
      <c r="R62" s="4" t="s">
        <v>28</v>
      </c>
      <c r="S62" s="4" t="s">
        <v>45</v>
      </c>
      <c r="T62" s="4" t="s">
        <v>53</v>
      </c>
      <c r="U62" s="4" t="s">
        <v>54</v>
      </c>
    </row>
    <row r="63" spans="1:21" x14ac:dyDescent="0.25">
      <c r="A63" s="4" t="s">
        <v>155</v>
      </c>
      <c r="B63" s="1">
        <v>45354</v>
      </c>
      <c r="C63" s="4" t="s">
        <v>415</v>
      </c>
      <c r="D63" s="4" t="s">
        <v>413</v>
      </c>
      <c r="E63" s="1">
        <v>45382</v>
      </c>
      <c r="F63" s="4" t="s">
        <v>129</v>
      </c>
      <c r="G63" s="4" t="s">
        <v>103</v>
      </c>
      <c r="H63" s="4" t="s">
        <v>33</v>
      </c>
      <c r="I63" s="4" t="s">
        <v>43</v>
      </c>
      <c r="J63" s="4" t="s">
        <v>104</v>
      </c>
      <c r="K63" s="3">
        <v>1142</v>
      </c>
      <c r="L63" s="5">
        <v>4</v>
      </c>
      <c r="M63" s="3">
        <v>4568</v>
      </c>
      <c r="N63" s="3">
        <f>AVERAGE(Mobile_Phone_Sales[[#This Row],[Total_Revenue]]/Mobile_Phone_Sales[[#This Row],[Units_Sold]])</f>
        <v>1142</v>
      </c>
      <c r="O63" s="4" t="s">
        <v>35</v>
      </c>
      <c r="P63" s="4" t="s">
        <v>36</v>
      </c>
      <c r="Q63" s="5">
        <v>27</v>
      </c>
      <c r="R63" s="4" t="s">
        <v>52</v>
      </c>
      <c r="S63" s="4" t="s">
        <v>29</v>
      </c>
      <c r="T63" s="4" t="s">
        <v>68</v>
      </c>
      <c r="U63" s="4" t="s">
        <v>91</v>
      </c>
    </row>
    <row r="64" spans="1:21" x14ac:dyDescent="0.25">
      <c r="A64" s="4" t="s">
        <v>156</v>
      </c>
      <c r="B64" s="1">
        <v>45356</v>
      </c>
      <c r="C64" s="4" t="s">
        <v>415</v>
      </c>
      <c r="D64" s="4" t="s">
        <v>408</v>
      </c>
      <c r="E64" s="1">
        <v>45382</v>
      </c>
      <c r="F64" s="4" t="s">
        <v>85</v>
      </c>
      <c r="G64" s="4" t="s">
        <v>22</v>
      </c>
      <c r="H64" s="4" t="s">
        <v>23</v>
      </c>
      <c r="I64" s="4" t="s">
        <v>58</v>
      </c>
      <c r="J64" s="4" t="s">
        <v>25</v>
      </c>
      <c r="K64" s="3">
        <v>1059</v>
      </c>
      <c r="L64" s="5">
        <v>68</v>
      </c>
      <c r="M64" s="3">
        <v>72012</v>
      </c>
      <c r="N64" s="3">
        <f>AVERAGE(Mobile_Phone_Sales[[#This Row],[Total_Revenue]]/Mobile_Phone_Sales[[#This Row],[Units_Sold]])</f>
        <v>1059</v>
      </c>
      <c r="O64" s="4" t="s">
        <v>26</v>
      </c>
      <c r="P64" s="4" t="s">
        <v>51</v>
      </c>
      <c r="Q64" s="5">
        <v>47</v>
      </c>
      <c r="R64" s="4" t="s">
        <v>59</v>
      </c>
      <c r="S64" s="4" t="s">
        <v>29</v>
      </c>
      <c r="T64" s="4" t="s">
        <v>68</v>
      </c>
      <c r="U64" s="4" t="s">
        <v>121</v>
      </c>
    </row>
    <row r="65" spans="1:21" x14ac:dyDescent="0.25">
      <c r="A65" s="4" t="s">
        <v>157</v>
      </c>
      <c r="B65" s="1">
        <v>45357</v>
      </c>
      <c r="C65" s="4" t="s">
        <v>415</v>
      </c>
      <c r="D65" s="4" t="s">
        <v>409</v>
      </c>
      <c r="E65" s="1">
        <v>45382</v>
      </c>
      <c r="F65" s="4" t="s">
        <v>41</v>
      </c>
      <c r="G65" s="4" t="s">
        <v>42</v>
      </c>
      <c r="H65" s="4" t="s">
        <v>23</v>
      </c>
      <c r="I65" s="4" t="s">
        <v>24</v>
      </c>
      <c r="J65" s="4" t="s">
        <v>25</v>
      </c>
      <c r="K65" s="3">
        <v>689</v>
      </c>
      <c r="L65" s="5">
        <v>89</v>
      </c>
      <c r="M65" s="3">
        <v>61321</v>
      </c>
      <c r="N65" s="3">
        <f>AVERAGE(Mobile_Phone_Sales[[#This Row],[Total_Revenue]]/Mobile_Phone_Sales[[#This Row],[Units_Sold]])</f>
        <v>689</v>
      </c>
      <c r="O65" s="4" t="s">
        <v>26</v>
      </c>
      <c r="P65" s="4" t="s">
        <v>44</v>
      </c>
      <c r="Q65" s="5">
        <v>51</v>
      </c>
      <c r="R65" s="4" t="s">
        <v>37</v>
      </c>
      <c r="S65" s="4" t="s">
        <v>29</v>
      </c>
      <c r="T65" s="4" t="s">
        <v>68</v>
      </c>
      <c r="U65" s="4" t="s">
        <v>121</v>
      </c>
    </row>
    <row r="66" spans="1:21" x14ac:dyDescent="0.25">
      <c r="A66" s="4" t="s">
        <v>158</v>
      </c>
      <c r="B66" s="1">
        <v>45358</v>
      </c>
      <c r="C66" s="4" t="s">
        <v>415</v>
      </c>
      <c r="D66" s="4" t="s">
        <v>410</v>
      </c>
      <c r="E66" s="1">
        <v>45382</v>
      </c>
      <c r="F66" s="4" t="s">
        <v>159</v>
      </c>
      <c r="G66" s="4" t="s">
        <v>103</v>
      </c>
      <c r="H66" s="4" t="s">
        <v>23</v>
      </c>
      <c r="I66" s="4" t="s">
        <v>43</v>
      </c>
      <c r="J66" s="4" t="s">
        <v>104</v>
      </c>
      <c r="K66" s="3">
        <v>456</v>
      </c>
      <c r="L66" s="5">
        <v>9</v>
      </c>
      <c r="M66" s="3">
        <v>4104</v>
      </c>
      <c r="N66" s="3">
        <f>AVERAGE(Mobile_Phone_Sales[[#This Row],[Total_Revenue]]/Mobile_Phone_Sales[[#This Row],[Units_Sold]])</f>
        <v>456</v>
      </c>
      <c r="O66" s="4" t="s">
        <v>26</v>
      </c>
      <c r="P66" s="4" t="s">
        <v>44</v>
      </c>
      <c r="Q66" s="5">
        <v>21</v>
      </c>
      <c r="R66" s="4" t="s">
        <v>87</v>
      </c>
      <c r="S66" s="4" t="s">
        <v>45</v>
      </c>
      <c r="T66" s="4" t="s">
        <v>53</v>
      </c>
      <c r="U66" s="4" t="s">
        <v>100</v>
      </c>
    </row>
    <row r="67" spans="1:21" x14ac:dyDescent="0.25">
      <c r="A67" s="4" t="s">
        <v>160</v>
      </c>
      <c r="B67" s="1">
        <v>45359</v>
      </c>
      <c r="C67" s="4" t="s">
        <v>415</v>
      </c>
      <c r="D67" s="4" t="s">
        <v>411</v>
      </c>
      <c r="E67" s="1">
        <v>45382</v>
      </c>
      <c r="F67" s="4" t="s">
        <v>85</v>
      </c>
      <c r="G67" s="4" t="s">
        <v>22</v>
      </c>
      <c r="H67" s="4" t="s">
        <v>23</v>
      </c>
      <c r="I67" s="4" t="s">
        <v>43</v>
      </c>
      <c r="J67" s="4" t="s">
        <v>25</v>
      </c>
      <c r="K67" s="3">
        <v>1062</v>
      </c>
      <c r="L67" s="5">
        <v>68</v>
      </c>
      <c r="M67" s="3">
        <v>72216</v>
      </c>
      <c r="N67" s="3">
        <f>AVERAGE(Mobile_Phone_Sales[[#This Row],[Total_Revenue]]/Mobile_Phone_Sales[[#This Row],[Units_Sold]])</f>
        <v>1062</v>
      </c>
      <c r="O67" s="4" t="s">
        <v>35</v>
      </c>
      <c r="P67" s="4" t="s">
        <v>51</v>
      </c>
      <c r="Q67" s="5">
        <v>62</v>
      </c>
      <c r="R67" s="4" t="s">
        <v>66</v>
      </c>
      <c r="S67" s="4" t="s">
        <v>45</v>
      </c>
      <c r="T67" s="4" t="s">
        <v>53</v>
      </c>
      <c r="U67" s="4" t="s">
        <v>54</v>
      </c>
    </row>
    <row r="68" spans="1:21" x14ac:dyDescent="0.25">
      <c r="A68" s="4" t="s">
        <v>161</v>
      </c>
      <c r="B68" s="1">
        <v>45360</v>
      </c>
      <c r="C68" s="4" t="s">
        <v>415</v>
      </c>
      <c r="D68" s="4" t="s">
        <v>412</v>
      </c>
      <c r="E68" s="1">
        <v>45382</v>
      </c>
      <c r="F68" s="4" t="s">
        <v>129</v>
      </c>
      <c r="G68" s="4" t="s">
        <v>103</v>
      </c>
      <c r="H68" s="4" t="s">
        <v>71</v>
      </c>
      <c r="I68" s="4" t="s">
        <v>43</v>
      </c>
      <c r="J68" s="4" t="s">
        <v>104</v>
      </c>
      <c r="K68" s="3">
        <v>1106</v>
      </c>
      <c r="L68" s="5">
        <v>71</v>
      </c>
      <c r="M68" s="3">
        <v>78526</v>
      </c>
      <c r="N68" s="3">
        <f>AVERAGE(Mobile_Phone_Sales[[#This Row],[Total_Revenue]]/Mobile_Phone_Sales[[#This Row],[Units_Sold]])</f>
        <v>1106</v>
      </c>
      <c r="O68" s="4" t="s">
        <v>26</v>
      </c>
      <c r="P68" s="4" t="s">
        <v>36</v>
      </c>
      <c r="Q68" s="5">
        <v>33</v>
      </c>
      <c r="R68" s="4" t="s">
        <v>52</v>
      </c>
      <c r="S68" s="4" t="s">
        <v>29</v>
      </c>
      <c r="T68" s="4" t="s">
        <v>68</v>
      </c>
      <c r="U68" s="4" t="s">
        <v>132</v>
      </c>
    </row>
    <row r="69" spans="1:21" x14ac:dyDescent="0.25">
      <c r="A69" s="4" t="s">
        <v>162</v>
      </c>
      <c r="B69" s="1">
        <v>45361</v>
      </c>
      <c r="C69" s="4" t="s">
        <v>415</v>
      </c>
      <c r="D69" s="4" t="s">
        <v>413</v>
      </c>
      <c r="E69" s="1">
        <v>45382</v>
      </c>
      <c r="F69" s="4" t="s">
        <v>120</v>
      </c>
      <c r="G69" s="4" t="s">
        <v>57</v>
      </c>
      <c r="H69" s="4" t="s">
        <v>71</v>
      </c>
      <c r="I69" s="4" t="s">
        <v>24</v>
      </c>
      <c r="J69" s="4" t="s">
        <v>25</v>
      </c>
      <c r="K69" s="3">
        <v>315</v>
      </c>
      <c r="L69" s="5">
        <v>17</v>
      </c>
      <c r="M69" s="3">
        <v>5355</v>
      </c>
      <c r="N69" s="3">
        <f>AVERAGE(Mobile_Phone_Sales[[#This Row],[Total_Revenue]]/Mobile_Phone_Sales[[#This Row],[Units_Sold]])</f>
        <v>315</v>
      </c>
      <c r="O69" s="4" t="s">
        <v>26</v>
      </c>
      <c r="P69" s="4" t="s">
        <v>44</v>
      </c>
      <c r="Q69" s="5">
        <v>44</v>
      </c>
      <c r="R69" s="4" t="s">
        <v>59</v>
      </c>
      <c r="S69" s="4" t="s">
        <v>29</v>
      </c>
      <c r="T69" s="4" t="s">
        <v>53</v>
      </c>
      <c r="U69" s="4" t="s">
        <v>94</v>
      </c>
    </row>
    <row r="70" spans="1:21" x14ac:dyDescent="0.25">
      <c r="A70" s="4" t="s">
        <v>163</v>
      </c>
      <c r="B70" s="1">
        <v>45363</v>
      </c>
      <c r="C70" s="4" t="s">
        <v>415</v>
      </c>
      <c r="D70" s="4" t="s">
        <v>408</v>
      </c>
      <c r="E70" s="1">
        <v>45382</v>
      </c>
      <c r="F70" s="4" t="s">
        <v>56</v>
      </c>
      <c r="G70" s="4" t="s">
        <v>57</v>
      </c>
      <c r="H70" s="4" t="s">
        <v>71</v>
      </c>
      <c r="I70" s="4" t="s">
        <v>72</v>
      </c>
      <c r="J70" s="4" t="s">
        <v>25</v>
      </c>
      <c r="K70" s="3">
        <v>1799</v>
      </c>
      <c r="L70" s="5">
        <v>13</v>
      </c>
      <c r="M70" s="3">
        <v>23387</v>
      </c>
      <c r="N70" s="3">
        <f>AVERAGE(Mobile_Phone_Sales[[#This Row],[Total_Revenue]]/Mobile_Phone_Sales[[#This Row],[Units_Sold]])</f>
        <v>1799</v>
      </c>
      <c r="O70" s="4" t="s">
        <v>26</v>
      </c>
      <c r="P70" s="4" t="s">
        <v>44</v>
      </c>
      <c r="Q70" s="5">
        <v>43</v>
      </c>
      <c r="R70" s="4" t="s">
        <v>59</v>
      </c>
      <c r="S70" s="4" t="s">
        <v>45</v>
      </c>
      <c r="T70" s="4" t="s">
        <v>68</v>
      </c>
      <c r="U70" s="4" t="s">
        <v>127</v>
      </c>
    </row>
    <row r="71" spans="1:21" x14ac:dyDescent="0.25">
      <c r="A71" s="4" t="s">
        <v>164</v>
      </c>
      <c r="B71" s="1">
        <v>45364</v>
      </c>
      <c r="C71" s="4" t="s">
        <v>415</v>
      </c>
      <c r="D71" s="4" t="s">
        <v>409</v>
      </c>
      <c r="E71" s="1">
        <v>45382</v>
      </c>
      <c r="F71" s="4" t="s">
        <v>159</v>
      </c>
      <c r="G71" s="4" t="s">
        <v>103</v>
      </c>
      <c r="H71" s="4" t="s">
        <v>33</v>
      </c>
      <c r="I71" s="4" t="s">
        <v>72</v>
      </c>
      <c r="J71" s="4" t="s">
        <v>104</v>
      </c>
      <c r="K71" s="3">
        <v>438</v>
      </c>
      <c r="L71" s="5">
        <v>85</v>
      </c>
      <c r="M71" s="3">
        <v>37230</v>
      </c>
      <c r="N71" s="3">
        <f>AVERAGE(Mobile_Phone_Sales[[#This Row],[Total_Revenue]]/Mobile_Phone_Sales[[#This Row],[Units_Sold]])</f>
        <v>438</v>
      </c>
      <c r="O71" s="4" t="s">
        <v>26</v>
      </c>
      <c r="P71" s="4" t="s">
        <v>44</v>
      </c>
      <c r="Q71" s="5">
        <v>44</v>
      </c>
      <c r="R71" s="4" t="s">
        <v>59</v>
      </c>
      <c r="S71" s="4" t="s">
        <v>45</v>
      </c>
      <c r="T71" s="4" t="s">
        <v>53</v>
      </c>
      <c r="U71" s="4" t="s">
        <v>73</v>
      </c>
    </row>
    <row r="72" spans="1:21" x14ac:dyDescent="0.25">
      <c r="A72" s="4" t="s">
        <v>165</v>
      </c>
      <c r="B72" s="1">
        <v>45365</v>
      </c>
      <c r="C72" s="4" t="s">
        <v>415</v>
      </c>
      <c r="D72" s="4" t="s">
        <v>410</v>
      </c>
      <c r="E72" s="1">
        <v>45382</v>
      </c>
      <c r="F72" s="4" t="s">
        <v>75</v>
      </c>
      <c r="G72" s="4" t="s">
        <v>50</v>
      </c>
      <c r="H72" s="4" t="s">
        <v>33</v>
      </c>
      <c r="I72" s="4" t="s">
        <v>24</v>
      </c>
      <c r="J72" s="4" t="s">
        <v>25</v>
      </c>
      <c r="K72" s="3">
        <v>351</v>
      </c>
      <c r="L72" s="5">
        <v>19</v>
      </c>
      <c r="M72" s="3">
        <v>6669</v>
      </c>
      <c r="N72" s="3">
        <f>AVERAGE(Mobile_Phone_Sales[[#This Row],[Total_Revenue]]/Mobile_Phone_Sales[[#This Row],[Units_Sold]])</f>
        <v>351</v>
      </c>
      <c r="O72" s="4" t="s">
        <v>35</v>
      </c>
      <c r="P72" s="4" t="s">
        <v>36</v>
      </c>
      <c r="Q72" s="5">
        <v>41</v>
      </c>
      <c r="R72" s="4" t="s">
        <v>28</v>
      </c>
      <c r="S72" s="4" t="s">
        <v>45</v>
      </c>
      <c r="T72" s="4" t="s">
        <v>68</v>
      </c>
      <c r="U72" s="4" t="s">
        <v>91</v>
      </c>
    </row>
    <row r="73" spans="1:21" x14ac:dyDescent="0.25">
      <c r="A73" s="4" t="s">
        <v>166</v>
      </c>
      <c r="B73" s="1">
        <v>45366</v>
      </c>
      <c r="C73" s="4" t="s">
        <v>415</v>
      </c>
      <c r="D73" s="4" t="s">
        <v>411</v>
      </c>
      <c r="E73" s="1">
        <v>45382</v>
      </c>
      <c r="F73" s="4" t="s">
        <v>116</v>
      </c>
      <c r="G73" s="4" t="s">
        <v>57</v>
      </c>
      <c r="H73" s="4" t="s">
        <v>33</v>
      </c>
      <c r="I73" s="4" t="s">
        <v>34</v>
      </c>
      <c r="J73" s="4" t="s">
        <v>25</v>
      </c>
      <c r="K73" s="3">
        <v>1206</v>
      </c>
      <c r="L73" s="5">
        <v>60</v>
      </c>
      <c r="M73" s="3">
        <v>72360</v>
      </c>
      <c r="N73" s="3">
        <f>AVERAGE(Mobile_Phone_Sales[[#This Row],[Total_Revenue]]/Mobile_Phone_Sales[[#This Row],[Units_Sold]])</f>
        <v>1206</v>
      </c>
      <c r="O73" s="4" t="s">
        <v>26</v>
      </c>
      <c r="P73" s="4" t="s">
        <v>27</v>
      </c>
      <c r="Q73" s="5">
        <v>59</v>
      </c>
      <c r="R73" s="4" t="s">
        <v>66</v>
      </c>
      <c r="S73" s="4" t="s">
        <v>45</v>
      </c>
      <c r="T73" s="4" t="s">
        <v>68</v>
      </c>
      <c r="U73" s="4" t="s">
        <v>132</v>
      </c>
    </row>
    <row r="74" spans="1:21" x14ac:dyDescent="0.25">
      <c r="A74" s="4" t="s">
        <v>167</v>
      </c>
      <c r="B74" s="1">
        <v>45367</v>
      </c>
      <c r="C74" s="4" t="s">
        <v>415</v>
      </c>
      <c r="D74" s="4" t="s">
        <v>412</v>
      </c>
      <c r="E74" s="1">
        <v>45382</v>
      </c>
      <c r="F74" s="4" t="s">
        <v>82</v>
      </c>
      <c r="G74" s="4" t="s">
        <v>50</v>
      </c>
      <c r="H74" s="4" t="s">
        <v>33</v>
      </c>
      <c r="I74" s="4" t="s">
        <v>43</v>
      </c>
      <c r="J74" s="4" t="s">
        <v>25</v>
      </c>
      <c r="K74" s="3">
        <v>544</v>
      </c>
      <c r="L74" s="5">
        <v>30</v>
      </c>
      <c r="M74" s="3">
        <v>16320</v>
      </c>
      <c r="N74" s="3">
        <f>AVERAGE(Mobile_Phone_Sales[[#This Row],[Total_Revenue]]/Mobile_Phone_Sales[[#This Row],[Units_Sold]])</f>
        <v>544</v>
      </c>
      <c r="O74" s="4" t="s">
        <v>35</v>
      </c>
      <c r="P74" s="4" t="s">
        <v>51</v>
      </c>
      <c r="Q74" s="5">
        <v>38</v>
      </c>
      <c r="R74" s="4" t="s">
        <v>28</v>
      </c>
      <c r="S74" s="4" t="s">
        <v>45</v>
      </c>
      <c r="T74" s="4" t="s">
        <v>53</v>
      </c>
      <c r="U74" s="4" t="s">
        <v>54</v>
      </c>
    </row>
    <row r="75" spans="1:21" x14ac:dyDescent="0.25">
      <c r="A75" s="4" t="s">
        <v>168</v>
      </c>
      <c r="B75" s="1">
        <v>45368</v>
      </c>
      <c r="C75" s="4" t="s">
        <v>415</v>
      </c>
      <c r="D75" s="4" t="s">
        <v>413</v>
      </c>
      <c r="E75" s="1">
        <v>45382</v>
      </c>
      <c r="F75" s="4" t="s">
        <v>78</v>
      </c>
      <c r="G75" s="4" t="s">
        <v>22</v>
      </c>
      <c r="H75" s="4" t="s">
        <v>33</v>
      </c>
      <c r="I75" s="4" t="s">
        <v>72</v>
      </c>
      <c r="J75" s="4" t="s">
        <v>25</v>
      </c>
      <c r="K75" s="3">
        <v>760</v>
      </c>
      <c r="L75" s="5">
        <v>97</v>
      </c>
      <c r="M75" s="3">
        <v>73720</v>
      </c>
      <c r="N75" s="3">
        <f>AVERAGE(Mobile_Phone_Sales[[#This Row],[Total_Revenue]]/Mobile_Phone_Sales[[#This Row],[Units_Sold]])</f>
        <v>760</v>
      </c>
      <c r="O75" s="4" t="s">
        <v>35</v>
      </c>
      <c r="P75" s="4" t="s">
        <v>36</v>
      </c>
      <c r="Q75" s="5">
        <v>64</v>
      </c>
      <c r="R75" s="4" t="s">
        <v>66</v>
      </c>
      <c r="S75" s="4" t="s">
        <v>45</v>
      </c>
      <c r="T75" s="4" t="s">
        <v>68</v>
      </c>
      <c r="U75" s="4" t="s">
        <v>91</v>
      </c>
    </row>
    <row r="76" spans="1:21" x14ac:dyDescent="0.25">
      <c r="A76" s="4" t="s">
        <v>169</v>
      </c>
      <c r="B76" s="1">
        <v>45369</v>
      </c>
      <c r="C76" s="4" t="s">
        <v>415</v>
      </c>
      <c r="D76" s="4" t="s">
        <v>407</v>
      </c>
      <c r="E76" s="1">
        <v>45382</v>
      </c>
      <c r="F76" s="4" t="s">
        <v>131</v>
      </c>
      <c r="G76" s="4" t="s">
        <v>103</v>
      </c>
      <c r="H76" s="4" t="s">
        <v>71</v>
      </c>
      <c r="I76" s="4" t="s">
        <v>24</v>
      </c>
      <c r="J76" s="4" t="s">
        <v>104</v>
      </c>
      <c r="K76" s="3">
        <v>884</v>
      </c>
      <c r="L76" s="5">
        <v>29</v>
      </c>
      <c r="M76" s="3">
        <v>25636</v>
      </c>
      <c r="N76" s="3">
        <f>AVERAGE(Mobile_Phone_Sales[[#This Row],[Total_Revenue]]/Mobile_Phone_Sales[[#This Row],[Units_Sold]])</f>
        <v>884</v>
      </c>
      <c r="O76" s="4" t="s">
        <v>65</v>
      </c>
      <c r="P76" s="4" t="s">
        <v>36</v>
      </c>
      <c r="Q76" s="5">
        <v>37</v>
      </c>
      <c r="R76" s="4" t="s">
        <v>28</v>
      </c>
      <c r="S76" s="4" t="s">
        <v>45</v>
      </c>
      <c r="T76" s="4" t="s">
        <v>68</v>
      </c>
      <c r="U76" s="4" t="s">
        <v>170</v>
      </c>
    </row>
    <row r="77" spans="1:21" x14ac:dyDescent="0.25">
      <c r="A77" s="4" t="s">
        <v>171</v>
      </c>
      <c r="B77" s="1">
        <v>45370</v>
      </c>
      <c r="C77" s="4" t="s">
        <v>415</v>
      </c>
      <c r="D77" s="4" t="s">
        <v>408</v>
      </c>
      <c r="E77" s="1">
        <v>45382</v>
      </c>
      <c r="F77" s="4" t="s">
        <v>131</v>
      </c>
      <c r="G77" s="4" t="s">
        <v>103</v>
      </c>
      <c r="H77" s="4" t="s">
        <v>33</v>
      </c>
      <c r="I77" s="4" t="s">
        <v>58</v>
      </c>
      <c r="J77" s="4" t="s">
        <v>104</v>
      </c>
      <c r="K77" s="3">
        <v>811</v>
      </c>
      <c r="L77" s="5">
        <v>74</v>
      </c>
      <c r="M77" s="3">
        <v>60014</v>
      </c>
      <c r="N77" s="3">
        <f>AVERAGE(Mobile_Phone_Sales[[#This Row],[Total_Revenue]]/Mobile_Phone_Sales[[#This Row],[Units_Sold]])</f>
        <v>811</v>
      </c>
      <c r="O77" s="4" t="s">
        <v>26</v>
      </c>
      <c r="P77" s="4" t="s">
        <v>36</v>
      </c>
      <c r="Q77" s="5">
        <v>23</v>
      </c>
      <c r="R77" s="4" t="s">
        <v>87</v>
      </c>
      <c r="S77" s="4" t="s">
        <v>45</v>
      </c>
      <c r="T77" s="4" t="s">
        <v>68</v>
      </c>
      <c r="U77" s="4" t="s">
        <v>132</v>
      </c>
    </row>
    <row r="78" spans="1:21" x14ac:dyDescent="0.25">
      <c r="A78" s="4" t="s">
        <v>172</v>
      </c>
      <c r="B78" s="1">
        <v>45371</v>
      </c>
      <c r="C78" s="4" t="s">
        <v>415</v>
      </c>
      <c r="D78" s="4" t="s">
        <v>409</v>
      </c>
      <c r="E78" s="1">
        <v>45382</v>
      </c>
      <c r="F78" s="4" t="s">
        <v>146</v>
      </c>
      <c r="G78" s="4" t="s">
        <v>57</v>
      </c>
      <c r="H78" s="4" t="s">
        <v>23</v>
      </c>
      <c r="I78" s="4" t="s">
        <v>72</v>
      </c>
      <c r="J78" s="4" t="s">
        <v>25</v>
      </c>
      <c r="K78" s="3">
        <v>425</v>
      </c>
      <c r="L78" s="5">
        <v>59</v>
      </c>
      <c r="M78" s="3">
        <v>25075</v>
      </c>
      <c r="N78" s="3">
        <f>AVERAGE(Mobile_Phone_Sales[[#This Row],[Total_Revenue]]/Mobile_Phone_Sales[[#This Row],[Units_Sold]])</f>
        <v>425</v>
      </c>
      <c r="O78" s="4" t="s">
        <v>26</v>
      </c>
      <c r="P78" s="4" t="s">
        <v>27</v>
      </c>
      <c r="Q78" s="5">
        <v>26</v>
      </c>
      <c r="R78" s="4" t="s">
        <v>52</v>
      </c>
      <c r="S78" s="4" t="s">
        <v>45</v>
      </c>
      <c r="T78" s="4" t="s">
        <v>68</v>
      </c>
      <c r="U78" s="4" t="s">
        <v>69</v>
      </c>
    </row>
    <row r="79" spans="1:21" x14ac:dyDescent="0.25">
      <c r="A79" s="4" t="s">
        <v>173</v>
      </c>
      <c r="B79" s="1">
        <v>45372</v>
      </c>
      <c r="C79" s="4" t="s">
        <v>415</v>
      </c>
      <c r="D79" s="4" t="s">
        <v>410</v>
      </c>
      <c r="E79" s="1">
        <v>45382</v>
      </c>
      <c r="F79" s="4" t="s">
        <v>126</v>
      </c>
      <c r="G79" s="4" t="s">
        <v>103</v>
      </c>
      <c r="H79" s="4" t="s">
        <v>23</v>
      </c>
      <c r="I79" s="4" t="s">
        <v>24</v>
      </c>
      <c r="J79" s="4" t="s">
        <v>104</v>
      </c>
      <c r="K79" s="3">
        <v>829</v>
      </c>
      <c r="L79" s="5">
        <v>59</v>
      </c>
      <c r="M79" s="3">
        <v>48911</v>
      </c>
      <c r="N79" s="3">
        <f>AVERAGE(Mobile_Phone_Sales[[#This Row],[Total_Revenue]]/Mobile_Phone_Sales[[#This Row],[Units_Sold]])</f>
        <v>829</v>
      </c>
      <c r="O79" s="4" t="s">
        <v>26</v>
      </c>
      <c r="P79" s="4" t="s">
        <v>51</v>
      </c>
      <c r="Q79" s="5">
        <v>26</v>
      </c>
      <c r="R79" s="4" t="s">
        <v>52</v>
      </c>
      <c r="S79" s="4" t="s">
        <v>29</v>
      </c>
      <c r="T79" s="4" t="s">
        <v>68</v>
      </c>
      <c r="U79" s="4" t="s">
        <v>98</v>
      </c>
    </row>
    <row r="80" spans="1:21" x14ac:dyDescent="0.25">
      <c r="A80" s="4" t="s">
        <v>174</v>
      </c>
      <c r="B80" s="1">
        <v>45374</v>
      </c>
      <c r="C80" s="4" t="s">
        <v>415</v>
      </c>
      <c r="D80" s="4" t="s">
        <v>412</v>
      </c>
      <c r="E80" s="1">
        <v>45382</v>
      </c>
      <c r="F80" s="4" t="s">
        <v>78</v>
      </c>
      <c r="G80" s="4" t="s">
        <v>22</v>
      </c>
      <c r="H80" s="4" t="s">
        <v>71</v>
      </c>
      <c r="I80" s="4" t="s">
        <v>43</v>
      </c>
      <c r="J80" s="4" t="s">
        <v>25</v>
      </c>
      <c r="K80" s="3">
        <v>777</v>
      </c>
      <c r="L80" s="5">
        <v>3</v>
      </c>
      <c r="M80" s="3">
        <v>2331</v>
      </c>
      <c r="N80" s="3">
        <f>AVERAGE(Mobile_Phone_Sales[[#This Row],[Total_Revenue]]/Mobile_Phone_Sales[[#This Row],[Units_Sold]])</f>
        <v>777</v>
      </c>
      <c r="O80" s="4" t="s">
        <v>65</v>
      </c>
      <c r="P80" s="4" t="s">
        <v>44</v>
      </c>
      <c r="Q80" s="5">
        <v>32</v>
      </c>
      <c r="R80" s="4" t="s">
        <v>52</v>
      </c>
      <c r="S80" s="4" t="s">
        <v>45</v>
      </c>
      <c r="T80" s="4" t="s">
        <v>46</v>
      </c>
      <c r="U80" s="4" t="s">
        <v>47</v>
      </c>
    </row>
    <row r="81" spans="1:21" x14ac:dyDescent="0.25">
      <c r="A81" s="4" t="s">
        <v>175</v>
      </c>
      <c r="B81" s="1">
        <v>45375</v>
      </c>
      <c r="C81" s="4" t="s">
        <v>415</v>
      </c>
      <c r="D81" s="4" t="s">
        <v>413</v>
      </c>
      <c r="E81" s="1">
        <v>45382</v>
      </c>
      <c r="F81" s="4" t="s">
        <v>85</v>
      </c>
      <c r="G81" s="4" t="s">
        <v>22</v>
      </c>
      <c r="H81" s="4" t="s">
        <v>33</v>
      </c>
      <c r="I81" s="4" t="s">
        <v>72</v>
      </c>
      <c r="J81" s="4" t="s">
        <v>25</v>
      </c>
      <c r="K81" s="3">
        <v>1017</v>
      </c>
      <c r="L81" s="5">
        <v>25</v>
      </c>
      <c r="M81" s="3">
        <v>25425</v>
      </c>
      <c r="N81" s="3">
        <f>AVERAGE(Mobile_Phone_Sales[[#This Row],[Total_Revenue]]/Mobile_Phone_Sales[[#This Row],[Units_Sold]])</f>
        <v>1017</v>
      </c>
      <c r="O81" s="4" t="s">
        <v>26</v>
      </c>
      <c r="P81" s="4" t="s">
        <v>51</v>
      </c>
      <c r="Q81" s="5">
        <v>22</v>
      </c>
      <c r="R81" s="4" t="s">
        <v>87</v>
      </c>
      <c r="S81" s="4" t="s">
        <v>45</v>
      </c>
      <c r="T81" s="4" t="s">
        <v>53</v>
      </c>
      <c r="U81" s="4" t="s">
        <v>62</v>
      </c>
    </row>
    <row r="82" spans="1:21" x14ac:dyDescent="0.25">
      <c r="A82" s="4" t="s">
        <v>176</v>
      </c>
      <c r="B82" s="1">
        <v>45376</v>
      </c>
      <c r="C82" s="4" t="s">
        <v>415</v>
      </c>
      <c r="D82" s="4" t="s">
        <v>407</v>
      </c>
      <c r="E82" s="1">
        <v>45382</v>
      </c>
      <c r="F82" s="4" t="s">
        <v>41</v>
      </c>
      <c r="G82" s="4" t="s">
        <v>42</v>
      </c>
      <c r="H82" s="4" t="s">
        <v>23</v>
      </c>
      <c r="I82" s="4" t="s">
        <v>34</v>
      </c>
      <c r="J82" s="4" t="s">
        <v>25</v>
      </c>
      <c r="K82" s="3">
        <v>668</v>
      </c>
      <c r="L82" s="5">
        <v>43</v>
      </c>
      <c r="M82" s="3">
        <v>28724</v>
      </c>
      <c r="N82" s="3">
        <f>AVERAGE(Mobile_Phone_Sales[[#This Row],[Total_Revenue]]/Mobile_Phone_Sales[[#This Row],[Units_Sold]])</f>
        <v>668</v>
      </c>
      <c r="O82" s="4" t="s">
        <v>26</v>
      </c>
      <c r="P82" s="4" t="s">
        <v>51</v>
      </c>
      <c r="Q82" s="5">
        <v>42</v>
      </c>
      <c r="R82" s="4" t="s">
        <v>59</v>
      </c>
      <c r="S82" s="4" t="s">
        <v>29</v>
      </c>
      <c r="T82" s="4" t="s">
        <v>68</v>
      </c>
      <c r="U82" s="4" t="s">
        <v>88</v>
      </c>
    </row>
    <row r="83" spans="1:21" x14ac:dyDescent="0.25">
      <c r="A83" s="4" t="s">
        <v>177</v>
      </c>
      <c r="B83" s="1">
        <v>45377</v>
      </c>
      <c r="C83" s="4" t="s">
        <v>415</v>
      </c>
      <c r="D83" s="4" t="s">
        <v>408</v>
      </c>
      <c r="E83" s="1">
        <v>45382</v>
      </c>
      <c r="F83" s="4" t="s">
        <v>56</v>
      </c>
      <c r="G83" s="4" t="s">
        <v>57</v>
      </c>
      <c r="H83" s="4" t="s">
        <v>33</v>
      </c>
      <c r="I83" s="4" t="s">
        <v>34</v>
      </c>
      <c r="J83" s="4" t="s">
        <v>25</v>
      </c>
      <c r="K83" s="3">
        <v>1873</v>
      </c>
      <c r="L83" s="5">
        <v>19</v>
      </c>
      <c r="M83" s="3">
        <v>35587</v>
      </c>
      <c r="N83" s="3">
        <f>AVERAGE(Mobile_Phone_Sales[[#This Row],[Total_Revenue]]/Mobile_Phone_Sales[[#This Row],[Units_Sold]])</f>
        <v>1873</v>
      </c>
      <c r="O83" s="4" t="s">
        <v>65</v>
      </c>
      <c r="P83" s="4" t="s">
        <v>51</v>
      </c>
      <c r="Q83" s="5">
        <v>57</v>
      </c>
      <c r="R83" s="4" t="s">
        <v>37</v>
      </c>
      <c r="S83" s="4" t="s">
        <v>38</v>
      </c>
      <c r="T83" s="4" t="s">
        <v>68</v>
      </c>
      <c r="U83" s="4" t="s">
        <v>91</v>
      </c>
    </row>
    <row r="84" spans="1:21" x14ac:dyDescent="0.25">
      <c r="A84" s="4" t="s">
        <v>178</v>
      </c>
      <c r="B84" s="1">
        <v>45378</v>
      </c>
      <c r="C84" s="4" t="s">
        <v>415</v>
      </c>
      <c r="D84" s="4" t="s">
        <v>409</v>
      </c>
      <c r="E84" s="1">
        <v>45382</v>
      </c>
      <c r="F84" s="4" t="s">
        <v>82</v>
      </c>
      <c r="G84" s="4" t="s">
        <v>50</v>
      </c>
      <c r="H84" s="4" t="s">
        <v>33</v>
      </c>
      <c r="I84" s="4" t="s">
        <v>43</v>
      </c>
      <c r="J84" s="4" t="s">
        <v>25</v>
      </c>
      <c r="K84" s="3">
        <v>513</v>
      </c>
      <c r="L84" s="5">
        <v>40</v>
      </c>
      <c r="M84" s="3">
        <v>20520</v>
      </c>
      <c r="N84" s="3">
        <f>AVERAGE(Mobile_Phone_Sales[[#This Row],[Total_Revenue]]/Mobile_Phone_Sales[[#This Row],[Units_Sold]])</f>
        <v>513</v>
      </c>
      <c r="O84" s="4" t="s">
        <v>26</v>
      </c>
      <c r="P84" s="4" t="s">
        <v>36</v>
      </c>
      <c r="Q84" s="5">
        <v>32</v>
      </c>
      <c r="R84" s="4" t="s">
        <v>52</v>
      </c>
      <c r="S84" s="4" t="s">
        <v>45</v>
      </c>
      <c r="T84" s="4" t="s">
        <v>53</v>
      </c>
      <c r="U84" s="4" t="s">
        <v>100</v>
      </c>
    </row>
    <row r="85" spans="1:21" x14ac:dyDescent="0.25">
      <c r="A85" s="4" t="s">
        <v>179</v>
      </c>
      <c r="B85" s="1">
        <v>45379</v>
      </c>
      <c r="C85" s="4" t="s">
        <v>415</v>
      </c>
      <c r="D85" s="4" t="s">
        <v>410</v>
      </c>
      <c r="E85" s="1">
        <v>45382</v>
      </c>
      <c r="F85" s="4" t="s">
        <v>21</v>
      </c>
      <c r="G85" s="4" t="s">
        <v>22</v>
      </c>
      <c r="H85" s="4" t="s">
        <v>33</v>
      </c>
      <c r="I85" s="4" t="s">
        <v>34</v>
      </c>
      <c r="J85" s="4" t="s">
        <v>25</v>
      </c>
      <c r="K85" s="3">
        <v>541</v>
      </c>
      <c r="L85" s="5">
        <v>32</v>
      </c>
      <c r="M85" s="3">
        <v>17312</v>
      </c>
      <c r="N85" s="3">
        <f>AVERAGE(Mobile_Phone_Sales[[#This Row],[Total_Revenue]]/Mobile_Phone_Sales[[#This Row],[Units_Sold]])</f>
        <v>541</v>
      </c>
      <c r="O85" s="4" t="s">
        <v>26</v>
      </c>
      <c r="P85" s="4" t="s">
        <v>27</v>
      </c>
      <c r="Q85" s="5">
        <v>51</v>
      </c>
      <c r="R85" s="4" t="s">
        <v>37</v>
      </c>
      <c r="S85" s="4" t="s">
        <v>45</v>
      </c>
      <c r="T85" s="4" t="s">
        <v>46</v>
      </c>
      <c r="U85" s="4" t="s">
        <v>111</v>
      </c>
    </row>
    <row r="86" spans="1:21" x14ac:dyDescent="0.25">
      <c r="A86" s="4" t="s">
        <v>180</v>
      </c>
      <c r="B86" s="1">
        <v>45380</v>
      </c>
      <c r="C86" s="4" t="s">
        <v>415</v>
      </c>
      <c r="D86" s="4" t="s">
        <v>411</v>
      </c>
      <c r="E86" s="1">
        <v>45382</v>
      </c>
      <c r="F86" s="4" t="s">
        <v>146</v>
      </c>
      <c r="G86" s="4" t="s">
        <v>57</v>
      </c>
      <c r="H86" s="4" t="s">
        <v>23</v>
      </c>
      <c r="I86" s="4" t="s">
        <v>24</v>
      </c>
      <c r="J86" s="4" t="s">
        <v>25</v>
      </c>
      <c r="K86" s="3">
        <v>454</v>
      </c>
      <c r="L86" s="5">
        <v>3</v>
      </c>
      <c r="M86" s="3">
        <v>1362</v>
      </c>
      <c r="N86" s="3">
        <f>AVERAGE(Mobile_Phone_Sales[[#This Row],[Total_Revenue]]/Mobile_Phone_Sales[[#This Row],[Units_Sold]])</f>
        <v>454</v>
      </c>
      <c r="O86" s="4" t="s">
        <v>26</v>
      </c>
      <c r="P86" s="4" t="s">
        <v>27</v>
      </c>
      <c r="Q86" s="5">
        <v>28</v>
      </c>
      <c r="R86" s="4" t="s">
        <v>52</v>
      </c>
      <c r="S86" s="4" t="s">
        <v>45</v>
      </c>
      <c r="T86" s="4" t="s">
        <v>53</v>
      </c>
      <c r="U86" s="4" t="s">
        <v>54</v>
      </c>
    </row>
    <row r="87" spans="1:21" x14ac:dyDescent="0.25">
      <c r="A87" s="4" t="s">
        <v>181</v>
      </c>
      <c r="B87" s="1">
        <v>45381</v>
      </c>
      <c r="C87" s="4" t="s">
        <v>415</v>
      </c>
      <c r="D87" s="4" t="s">
        <v>412</v>
      </c>
      <c r="E87" s="1">
        <v>45382</v>
      </c>
      <c r="F87" s="4" t="s">
        <v>56</v>
      </c>
      <c r="G87" s="4" t="s">
        <v>57</v>
      </c>
      <c r="H87" s="4" t="s">
        <v>23</v>
      </c>
      <c r="I87" s="4" t="s">
        <v>34</v>
      </c>
      <c r="J87" s="4" t="s">
        <v>25</v>
      </c>
      <c r="K87" s="3">
        <v>1810</v>
      </c>
      <c r="L87" s="5">
        <v>20</v>
      </c>
      <c r="M87" s="3">
        <v>36200</v>
      </c>
      <c r="N87" s="3">
        <f>AVERAGE(Mobile_Phone_Sales[[#This Row],[Total_Revenue]]/Mobile_Phone_Sales[[#This Row],[Units_Sold]])</f>
        <v>1810</v>
      </c>
      <c r="O87" s="4" t="s">
        <v>65</v>
      </c>
      <c r="P87" s="4" t="s">
        <v>36</v>
      </c>
      <c r="Q87" s="5">
        <v>48</v>
      </c>
      <c r="R87" s="4" t="s">
        <v>59</v>
      </c>
      <c r="S87" s="4" t="s">
        <v>45</v>
      </c>
      <c r="T87" s="4" t="s">
        <v>68</v>
      </c>
      <c r="U87" s="4" t="s">
        <v>127</v>
      </c>
    </row>
    <row r="88" spans="1:21" x14ac:dyDescent="0.25">
      <c r="A88" s="4" t="s">
        <v>182</v>
      </c>
      <c r="B88" s="1">
        <v>45382</v>
      </c>
      <c r="C88" s="4" t="s">
        <v>415</v>
      </c>
      <c r="D88" s="4" t="s">
        <v>413</v>
      </c>
      <c r="E88" s="1">
        <v>45382</v>
      </c>
      <c r="F88" s="4" t="s">
        <v>64</v>
      </c>
      <c r="G88" s="4" t="s">
        <v>50</v>
      </c>
      <c r="H88" s="4" t="s">
        <v>33</v>
      </c>
      <c r="I88" s="4" t="s">
        <v>58</v>
      </c>
      <c r="J88" s="4" t="s">
        <v>25</v>
      </c>
      <c r="K88" s="3">
        <v>805</v>
      </c>
      <c r="L88" s="5">
        <v>19</v>
      </c>
      <c r="M88" s="3">
        <v>15295</v>
      </c>
      <c r="N88" s="3">
        <f>AVERAGE(Mobile_Phone_Sales[[#This Row],[Total_Revenue]]/Mobile_Phone_Sales[[#This Row],[Units_Sold]])</f>
        <v>805</v>
      </c>
      <c r="O88" s="4" t="s">
        <v>65</v>
      </c>
      <c r="P88" s="4" t="s">
        <v>27</v>
      </c>
      <c r="Q88" s="5">
        <v>30</v>
      </c>
      <c r="R88" s="4" t="s">
        <v>52</v>
      </c>
      <c r="S88" s="4" t="s">
        <v>45</v>
      </c>
      <c r="T88" s="4" t="s">
        <v>68</v>
      </c>
      <c r="U88" s="4" t="s">
        <v>83</v>
      </c>
    </row>
    <row r="89" spans="1:21" x14ac:dyDescent="0.25">
      <c r="A89" s="4" t="s">
        <v>183</v>
      </c>
      <c r="B89" s="1">
        <v>45383</v>
      </c>
      <c r="C89" s="4" t="s">
        <v>416</v>
      </c>
      <c r="D89" s="4" t="s">
        <v>407</v>
      </c>
      <c r="E89" s="1">
        <v>45412</v>
      </c>
      <c r="F89" s="4" t="s">
        <v>49</v>
      </c>
      <c r="G89" s="4" t="s">
        <v>50</v>
      </c>
      <c r="H89" s="4" t="s">
        <v>33</v>
      </c>
      <c r="I89" s="4" t="s">
        <v>34</v>
      </c>
      <c r="J89" s="4" t="s">
        <v>25</v>
      </c>
      <c r="K89" s="3">
        <v>326</v>
      </c>
      <c r="L89" s="5">
        <v>66</v>
      </c>
      <c r="M89" s="3">
        <v>21516</v>
      </c>
      <c r="N89" s="3">
        <f>AVERAGE(Mobile_Phone_Sales[[#This Row],[Total_Revenue]]/Mobile_Phone_Sales[[#This Row],[Units_Sold]])</f>
        <v>326</v>
      </c>
      <c r="O89" s="4" t="s">
        <v>65</v>
      </c>
      <c r="P89" s="4" t="s">
        <v>36</v>
      </c>
      <c r="Q89" s="5">
        <v>43</v>
      </c>
      <c r="R89" s="4" t="s">
        <v>59</v>
      </c>
      <c r="S89" s="4" t="s">
        <v>38</v>
      </c>
      <c r="T89" s="4" t="s">
        <v>68</v>
      </c>
      <c r="U89" s="4" t="s">
        <v>127</v>
      </c>
    </row>
    <row r="90" spans="1:21" x14ac:dyDescent="0.25">
      <c r="A90" s="4" t="s">
        <v>184</v>
      </c>
      <c r="B90" s="1">
        <v>45384</v>
      </c>
      <c r="C90" s="4" t="s">
        <v>416</v>
      </c>
      <c r="D90" s="4" t="s">
        <v>408</v>
      </c>
      <c r="E90" s="1">
        <v>45412</v>
      </c>
      <c r="F90" s="4" t="s">
        <v>159</v>
      </c>
      <c r="G90" s="4" t="s">
        <v>103</v>
      </c>
      <c r="H90" s="4" t="s">
        <v>33</v>
      </c>
      <c r="I90" s="4" t="s">
        <v>43</v>
      </c>
      <c r="J90" s="4" t="s">
        <v>104</v>
      </c>
      <c r="K90" s="3">
        <v>456</v>
      </c>
      <c r="L90" s="5">
        <v>93</v>
      </c>
      <c r="M90" s="3">
        <v>42408</v>
      </c>
      <c r="N90" s="3">
        <f>AVERAGE(Mobile_Phone_Sales[[#This Row],[Total_Revenue]]/Mobile_Phone_Sales[[#This Row],[Units_Sold]])</f>
        <v>456</v>
      </c>
      <c r="O90" s="4" t="s">
        <v>26</v>
      </c>
      <c r="P90" s="4" t="s">
        <v>36</v>
      </c>
      <c r="Q90" s="5">
        <v>56</v>
      </c>
      <c r="R90" s="4" t="s">
        <v>37</v>
      </c>
      <c r="S90" s="4" t="s">
        <v>29</v>
      </c>
      <c r="T90" s="4" t="s">
        <v>46</v>
      </c>
      <c r="U90" s="4" t="s">
        <v>118</v>
      </c>
    </row>
    <row r="91" spans="1:21" x14ac:dyDescent="0.25">
      <c r="A91" s="4" t="s">
        <v>185</v>
      </c>
      <c r="B91" s="1">
        <v>45385</v>
      </c>
      <c r="C91" s="4" t="s">
        <v>416</v>
      </c>
      <c r="D91" s="4" t="s">
        <v>409</v>
      </c>
      <c r="E91" s="1">
        <v>45412</v>
      </c>
      <c r="F91" s="4" t="s">
        <v>41</v>
      </c>
      <c r="G91" s="4" t="s">
        <v>42</v>
      </c>
      <c r="H91" s="4" t="s">
        <v>33</v>
      </c>
      <c r="I91" s="4" t="s">
        <v>43</v>
      </c>
      <c r="J91" s="4" t="s">
        <v>25</v>
      </c>
      <c r="K91" s="3">
        <v>634</v>
      </c>
      <c r="L91" s="5">
        <v>84</v>
      </c>
      <c r="M91" s="3">
        <v>53256</v>
      </c>
      <c r="N91" s="3">
        <f>AVERAGE(Mobile_Phone_Sales[[#This Row],[Total_Revenue]]/Mobile_Phone_Sales[[#This Row],[Units_Sold]])</f>
        <v>634</v>
      </c>
      <c r="O91" s="4" t="s">
        <v>26</v>
      </c>
      <c r="P91" s="4" t="s">
        <v>27</v>
      </c>
      <c r="Q91" s="5">
        <v>61</v>
      </c>
      <c r="R91" s="4" t="s">
        <v>66</v>
      </c>
      <c r="S91" s="4" t="s">
        <v>29</v>
      </c>
      <c r="T91" s="4" t="s">
        <v>68</v>
      </c>
      <c r="U91" s="4" t="s">
        <v>121</v>
      </c>
    </row>
    <row r="92" spans="1:21" x14ac:dyDescent="0.25">
      <c r="A92" s="4" t="s">
        <v>186</v>
      </c>
      <c r="B92" s="1">
        <v>45386</v>
      </c>
      <c r="C92" s="4" t="s">
        <v>416</v>
      </c>
      <c r="D92" s="4" t="s">
        <v>410</v>
      </c>
      <c r="E92" s="1">
        <v>45412</v>
      </c>
      <c r="F92" s="4" t="s">
        <v>80</v>
      </c>
      <c r="G92" s="4" t="s">
        <v>42</v>
      </c>
      <c r="H92" s="4" t="s">
        <v>33</v>
      </c>
      <c r="I92" s="4" t="s">
        <v>72</v>
      </c>
      <c r="J92" s="4" t="s">
        <v>25</v>
      </c>
      <c r="K92" s="3">
        <v>573</v>
      </c>
      <c r="L92" s="5">
        <v>45</v>
      </c>
      <c r="M92" s="3">
        <v>25785</v>
      </c>
      <c r="N92" s="3">
        <f>AVERAGE(Mobile_Phone_Sales[[#This Row],[Total_Revenue]]/Mobile_Phone_Sales[[#This Row],[Units_Sold]])</f>
        <v>573</v>
      </c>
      <c r="O92" s="4" t="s">
        <v>26</v>
      </c>
      <c r="P92" s="4" t="s">
        <v>51</v>
      </c>
      <c r="Q92" s="5">
        <v>19</v>
      </c>
      <c r="R92" s="4" t="s">
        <v>87</v>
      </c>
      <c r="S92" s="4" t="s">
        <v>45</v>
      </c>
      <c r="T92" s="4" t="s">
        <v>53</v>
      </c>
      <c r="U92" s="4" t="s">
        <v>62</v>
      </c>
    </row>
    <row r="93" spans="1:21" x14ac:dyDescent="0.25">
      <c r="A93" s="4" t="s">
        <v>187</v>
      </c>
      <c r="B93" s="1">
        <v>45387</v>
      </c>
      <c r="C93" s="4" t="s">
        <v>416</v>
      </c>
      <c r="D93" s="4" t="s">
        <v>411</v>
      </c>
      <c r="E93" s="1">
        <v>45412</v>
      </c>
      <c r="F93" s="4" t="s">
        <v>49</v>
      </c>
      <c r="G93" s="4" t="s">
        <v>50</v>
      </c>
      <c r="H93" s="4" t="s">
        <v>23</v>
      </c>
      <c r="I93" s="4" t="s">
        <v>34</v>
      </c>
      <c r="J93" s="4" t="s">
        <v>25</v>
      </c>
      <c r="K93" s="3">
        <v>323</v>
      </c>
      <c r="L93" s="5">
        <v>65</v>
      </c>
      <c r="M93" s="3">
        <v>20995</v>
      </c>
      <c r="N93" s="3">
        <f>AVERAGE(Mobile_Phone_Sales[[#This Row],[Total_Revenue]]/Mobile_Phone_Sales[[#This Row],[Units_Sold]])</f>
        <v>323</v>
      </c>
      <c r="O93" s="4" t="s">
        <v>26</v>
      </c>
      <c r="P93" s="4" t="s">
        <v>36</v>
      </c>
      <c r="Q93" s="5">
        <v>38</v>
      </c>
      <c r="R93" s="4" t="s">
        <v>28</v>
      </c>
      <c r="S93" s="4" t="s">
        <v>29</v>
      </c>
      <c r="T93" s="4" t="s">
        <v>68</v>
      </c>
      <c r="U93" s="4" t="s">
        <v>98</v>
      </c>
    </row>
    <row r="94" spans="1:21" x14ac:dyDescent="0.25">
      <c r="A94" s="4" t="s">
        <v>188</v>
      </c>
      <c r="B94" s="1">
        <v>45388</v>
      </c>
      <c r="C94" s="4" t="s">
        <v>416</v>
      </c>
      <c r="D94" s="4" t="s">
        <v>412</v>
      </c>
      <c r="E94" s="1">
        <v>45412</v>
      </c>
      <c r="F94" s="4" t="s">
        <v>80</v>
      </c>
      <c r="G94" s="4" t="s">
        <v>42</v>
      </c>
      <c r="H94" s="4" t="s">
        <v>33</v>
      </c>
      <c r="I94" s="4" t="s">
        <v>24</v>
      </c>
      <c r="J94" s="4" t="s">
        <v>25</v>
      </c>
      <c r="K94" s="3">
        <v>501</v>
      </c>
      <c r="L94" s="5">
        <v>54</v>
      </c>
      <c r="M94" s="3">
        <v>27054</v>
      </c>
      <c r="N94" s="3">
        <f>AVERAGE(Mobile_Phone_Sales[[#This Row],[Total_Revenue]]/Mobile_Phone_Sales[[#This Row],[Units_Sold]])</f>
        <v>501</v>
      </c>
      <c r="O94" s="4" t="s">
        <v>35</v>
      </c>
      <c r="P94" s="4" t="s">
        <v>44</v>
      </c>
      <c r="Q94" s="5">
        <v>46</v>
      </c>
      <c r="R94" s="4" t="s">
        <v>59</v>
      </c>
      <c r="S94" s="4" t="s">
        <v>29</v>
      </c>
      <c r="T94" s="4" t="s">
        <v>68</v>
      </c>
      <c r="U94" s="4" t="s">
        <v>83</v>
      </c>
    </row>
    <row r="95" spans="1:21" x14ac:dyDescent="0.25">
      <c r="A95" s="4" t="s">
        <v>189</v>
      </c>
      <c r="B95" s="1">
        <v>45389</v>
      </c>
      <c r="C95" s="4" t="s">
        <v>416</v>
      </c>
      <c r="D95" s="4" t="s">
        <v>413</v>
      </c>
      <c r="E95" s="1">
        <v>45412</v>
      </c>
      <c r="F95" s="4" t="s">
        <v>82</v>
      </c>
      <c r="G95" s="4" t="s">
        <v>50</v>
      </c>
      <c r="H95" s="4" t="s">
        <v>71</v>
      </c>
      <c r="I95" s="4" t="s">
        <v>24</v>
      </c>
      <c r="J95" s="4" t="s">
        <v>25</v>
      </c>
      <c r="K95" s="3">
        <v>518</v>
      </c>
      <c r="L95" s="5">
        <v>61</v>
      </c>
      <c r="M95" s="3">
        <v>31598</v>
      </c>
      <c r="N95" s="3">
        <f>AVERAGE(Mobile_Phone_Sales[[#This Row],[Total_Revenue]]/Mobile_Phone_Sales[[#This Row],[Units_Sold]])</f>
        <v>518</v>
      </c>
      <c r="O95" s="4" t="s">
        <v>26</v>
      </c>
      <c r="P95" s="4" t="s">
        <v>51</v>
      </c>
      <c r="Q95" s="5">
        <v>18</v>
      </c>
      <c r="R95" s="4" t="s">
        <v>87</v>
      </c>
      <c r="S95" s="4" t="s">
        <v>45</v>
      </c>
      <c r="T95" s="4" t="s">
        <v>46</v>
      </c>
      <c r="U95" s="4" t="s">
        <v>76</v>
      </c>
    </row>
    <row r="96" spans="1:21" x14ac:dyDescent="0.25">
      <c r="A96" s="4" t="s">
        <v>190</v>
      </c>
      <c r="B96" s="1">
        <v>45390</v>
      </c>
      <c r="C96" s="4" t="s">
        <v>416</v>
      </c>
      <c r="D96" s="4" t="s">
        <v>407</v>
      </c>
      <c r="E96" s="1">
        <v>45412</v>
      </c>
      <c r="F96" s="4" t="s">
        <v>120</v>
      </c>
      <c r="G96" s="4" t="s">
        <v>57</v>
      </c>
      <c r="H96" s="4" t="s">
        <v>71</v>
      </c>
      <c r="I96" s="4" t="s">
        <v>24</v>
      </c>
      <c r="J96" s="4" t="s">
        <v>25</v>
      </c>
      <c r="K96" s="3">
        <v>398</v>
      </c>
      <c r="L96" s="5">
        <v>21</v>
      </c>
      <c r="M96" s="3">
        <v>8358</v>
      </c>
      <c r="N96" s="3">
        <f>AVERAGE(Mobile_Phone_Sales[[#This Row],[Total_Revenue]]/Mobile_Phone_Sales[[#This Row],[Units_Sold]])</f>
        <v>398</v>
      </c>
      <c r="O96" s="4" t="s">
        <v>26</v>
      </c>
      <c r="P96" s="4" t="s">
        <v>27</v>
      </c>
      <c r="Q96" s="5">
        <v>62</v>
      </c>
      <c r="R96" s="4" t="s">
        <v>66</v>
      </c>
      <c r="S96" s="4" t="s">
        <v>45</v>
      </c>
      <c r="T96" s="4" t="s">
        <v>53</v>
      </c>
      <c r="U96" s="4" t="s">
        <v>62</v>
      </c>
    </row>
    <row r="97" spans="1:21" x14ac:dyDescent="0.25">
      <c r="A97" s="4" t="s">
        <v>191</v>
      </c>
      <c r="B97" s="1">
        <v>45391</v>
      </c>
      <c r="C97" s="4" t="s">
        <v>416</v>
      </c>
      <c r="D97" s="4" t="s">
        <v>408</v>
      </c>
      <c r="E97" s="1">
        <v>45412</v>
      </c>
      <c r="F97" s="4" t="s">
        <v>78</v>
      </c>
      <c r="G97" s="4" t="s">
        <v>22</v>
      </c>
      <c r="H97" s="4" t="s">
        <v>33</v>
      </c>
      <c r="I97" s="4" t="s">
        <v>34</v>
      </c>
      <c r="J97" s="4" t="s">
        <v>25</v>
      </c>
      <c r="K97" s="3">
        <v>735</v>
      </c>
      <c r="L97" s="5">
        <v>28</v>
      </c>
      <c r="M97" s="3">
        <v>20580</v>
      </c>
      <c r="N97" s="3">
        <f>AVERAGE(Mobile_Phone_Sales[[#This Row],[Total_Revenue]]/Mobile_Phone_Sales[[#This Row],[Units_Sold]])</f>
        <v>735</v>
      </c>
      <c r="O97" s="4" t="s">
        <v>35</v>
      </c>
      <c r="P97" s="4" t="s">
        <v>51</v>
      </c>
      <c r="Q97" s="5">
        <v>38</v>
      </c>
      <c r="R97" s="4" t="s">
        <v>28</v>
      </c>
      <c r="S97" s="4" t="s">
        <v>29</v>
      </c>
      <c r="T97" s="4" t="s">
        <v>53</v>
      </c>
      <c r="U97" s="4" t="s">
        <v>62</v>
      </c>
    </row>
    <row r="98" spans="1:21" x14ac:dyDescent="0.25">
      <c r="A98" s="4" t="s">
        <v>192</v>
      </c>
      <c r="B98" s="1">
        <v>45392</v>
      </c>
      <c r="C98" s="4" t="s">
        <v>416</v>
      </c>
      <c r="D98" s="4" t="s">
        <v>409</v>
      </c>
      <c r="E98" s="1">
        <v>45412</v>
      </c>
      <c r="F98" s="4" t="s">
        <v>102</v>
      </c>
      <c r="G98" s="4" t="s">
        <v>103</v>
      </c>
      <c r="H98" s="4" t="s">
        <v>71</v>
      </c>
      <c r="I98" s="4" t="s">
        <v>34</v>
      </c>
      <c r="J98" s="4" t="s">
        <v>104</v>
      </c>
      <c r="K98" s="3">
        <v>1032</v>
      </c>
      <c r="L98" s="5">
        <v>9</v>
      </c>
      <c r="M98" s="3">
        <v>9288</v>
      </c>
      <c r="N98" s="3">
        <f>AVERAGE(Mobile_Phone_Sales[[#This Row],[Total_Revenue]]/Mobile_Phone_Sales[[#This Row],[Units_Sold]])</f>
        <v>1032</v>
      </c>
      <c r="O98" s="4" t="s">
        <v>65</v>
      </c>
      <c r="P98" s="4" t="s">
        <v>51</v>
      </c>
      <c r="Q98" s="5">
        <v>26</v>
      </c>
      <c r="R98" s="4" t="s">
        <v>52</v>
      </c>
      <c r="S98" s="4" t="s">
        <v>29</v>
      </c>
      <c r="T98" s="4" t="s">
        <v>68</v>
      </c>
      <c r="U98" s="4" t="s">
        <v>83</v>
      </c>
    </row>
    <row r="99" spans="1:21" x14ac:dyDescent="0.25">
      <c r="A99" s="4" t="s">
        <v>193</v>
      </c>
      <c r="B99" s="1">
        <v>45393</v>
      </c>
      <c r="C99" s="4" t="s">
        <v>416</v>
      </c>
      <c r="D99" s="4" t="s">
        <v>410</v>
      </c>
      <c r="E99" s="1">
        <v>45412</v>
      </c>
      <c r="F99" s="4" t="s">
        <v>96</v>
      </c>
      <c r="G99" s="4" t="s">
        <v>42</v>
      </c>
      <c r="H99" s="4" t="s">
        <v>71</v>
      </c>
      <c r="I99" s="4" t="s">
        <v>24</v>
      </c>
      <c r="J99" s="4" t="s">
        <v>25</v>
      </c>
      <c r="K99" s="3">
        <v>875</v>
      </c>
      <c r="L99" s="5">
        <v>80</v>
      </c>
      <c r="M99" s="3">
        <v>70000</v>
      </c>
      <c r="N99" s="3">
        <f>AVERAGE(Mobile_Phone_Sales[[#This Row],[Total_Revenue]]/Mobile_Phone_Sales[[#This Row],[Units_Sold]])</f>
        <v>875</v>
      </c>
      <c r="O99" s="4" t="s">
        <v>26</v>
      </c>
      <c r="P99" s="4" t="s">
        <v>51</v>
      </c>
      <c r="Q99" s="5">
        <v>60</v>
      </c>
      <c r="R99" s="4" t="s">
        <v>66</v>
      </c>
      <c r="S99" s="4" t="s">
        <v>29</v>
      </c>
      <c r="T99" s="4" t="s">
        <v>53</v>
      </c>
      <c r="U99" s="4" t="s">
        <v>94</v>
      </c>
    </row>
    <row r="100" spans="1:21" x14ac:dyDescent="0.25">
      <c r="A100" s="4" t="s">
        <v>194</v>
      </c>
      <c r="B100" s="1">
        <v>45394</v>
      </c>
      <c r="C100" s="4" t="s">
        <v>416</v>
      </c>
      <c r="D100" s="4" t="s">
        <v>411</v>
      </c>
      <c r="E100" s="1">
        <v>45412</v>
      </c>
      <c r="F100" s="4" t="s">
        <v>126</v>
      </c>
      <c r="G100" s="4" t="s">
        <v>103</v>
      </c>
      <c r="H100" s="4" t="s">
        <v>23</v>
      </c>
      <c r="I100" s="4" t="s">
        <v>58</v>
      </c>
      <c r="J100" s="4" t="s">
        <v>104</v>
      </c>
      <c r="K100" s="3">
        <v>872</v>
      </c>
      <c r="L100" s="5">
        <v>54</v>
      </c>
      <c r="M100" s="3">
        <v>47088</v>
      </c>
      <c r="N100" s="3">
        <f>AVERAGE(Mobile_Phone_Sales[[#This Row],[Total_Revenue]]/Mobile_Phone_Sales[[#This Row],[Units_Sold]])</f>
        <v>872</v>
      </c>
      <c r="O100" s="4" t="s">
        <v>26</v>
      </c>
      <c r="P100" s="4" t="s">
        <v>27</v>
      </c>
      <c r="Q100" s="5">
        <v>55</v>
      </c>
      <c r="R100" s="4" t="s">
        <v>37</v>
      </c>
      <c r="S100" s="4" t="s">
        <v>29</v>
      </c>
      <c r="T100" s="4" t="s">
        <v>68</v>
      </c>
      <c r="U100" s="4" t="s">
        <v>195</v>
      </c>
    </row>
    <row r="101" spans="1:21" x14ac:dyDescent="0.25">
      <c r="A101" s="4" t="s">
        <v>196</v>
      </c>
      <c r="B101" s="1">
        <v>45395</v>
      </c>
      <c r="C101" s="4" t="s">
        <v>416</v>
      </c>
      <c r="D101" s="4" t="s">
        <v>412</v>
      </c>
      <c r="E101" s="1">
        <v>45412</v>
      </c>
      <c r="F101" s="4" t="s">
        <v>129</v>
      </c>
      <c r="G101" s="4" t="s">
        <v>103</v>
      </c>
      <c r="H101" s="4" t="s">
        <v>71</v>
      </c>
      <c r="I101" s="4" t="s">
        <v>34</v>
      </c>
      <c r="J101" s="4" t="s">
        <v>104</v>
      </c>
      <c r="K101" s="3">
        <v>1160</v>
      </c>
      <c r="L101" s="5">
        <v>49</v>
      </c>
      <c r="M101" s="3">
        <v>56840</v>
      </c>
      <c r="N101" s="3">
        <f>AVERAGE(Mobile_Phone_Sales[[#This Row],[Total_Revenue]]/Mobile_Phone_Sales[[#This Row],[Units_Sold]])</f>
        <v>1160</v>
      </c>
      <c r="O101" s="4" t="s">
        <v>35</v>
      </c>
      <c r="P101" s="4" t="s">
        <v>36</v>
      </c>
      <c r="Q101" s="5">
        <v>39</v>
      </c>
      <c r="R101" s="4" t="s">
        <v>28</v>
      </c>
      <c r="S101" s="4" t="s">
        <v>45</v>
      </c>
      <c r="T101" s="4" t="s">
        <v>53</v>
      </c>
      <c r="U101" s="4" t="s">
        <v>62</v>
      </c>
    </row>
    <row r="102" spans="1:21" x14ac:dyDescent="0.25">
      <c r="A102" s="4" t="s">
        <v>197</v>
      </c>
      <c r="B102" s="1">
        <v>45396</v>
      </c>
      <c r="C102" s="4" t="s">
        <v>416</v>
      </c>
      <c r="D102" s="4" t="s">
        <v>413</v>
      </c>
      <c r="E102" s="1">
        <v>45412</v>
      </c>
      <c r="F102" s="4" t="s">
        <v>146</v>
      </c>
      <c r="G102" s="4" t="s">
        <v>57</v>
      </c>
      <c r="H102" s="4" t="s">
        <v>33</v>
      </c>
      <c r="I102" s="4" t="s">
        <v>58</v>
      </c>
      <c r="J102" s="4" t="s">
        <v>25</v>
      </c>
      <c r="K102" s="3">
        <v>442</v>
      </c>
      <c r="L102" s="5">
        <v>79</v>
      </c>
      <c r="M102" s="3">
        <v>34918</v>
      </c>
      <c r="N102" s="3">
        <f>AVERAGE(Mobile_Phone_Sales[[#This Row],[Total_Revenue]]/Mobile_Phone_Sales[[#This Row],[Units_Sold]])</f>
        <v>442</v>
      </c>
      <c r="O102" s="4" t="s">
        <v>65</v>
      </c>
      <c r="P102" s="4" t="s">
        <v>27</v>
      </c>
      <c r="Q102" s="5">
        <v>46</v>
      </c>
      <c r="R102" s="4" t="s">
        <v>59</v>
      </c>
      <c r="S102" s="4" t="s">
        <v>45</v>
      </c>
      <c r="T102" s="4" t="s">
        <v>46</v>
      </c>
      <c r="U102" s="4" t="s">
        <v>47</v>
      </c>
    </row>
    <row r="103" spans="1:21" x14ac:dyDescent="0.25">
      <c r="A103" s="4" t="s">
        <v>198</v>
      </c>
      <c r="B103" s="1">
        <v>45397</v>
      </c>
      <c r="C103" s="4" t="s">
        <v>416</v>
      </c>
      <c r="D103" s="4" t="s">
        <v>407</v>
      </c>
      <c r="E103" s="1">
        <v>45412</v>
      </c>
      <c r="F103" s="4" t="s">
        <v>78</v>
      </c>
      <c r="G103" s="4" t="s">
        <v>22</v>
      </c>
      <c r="H103" s="4" t="s">
        <v>33</v>
      </c>
      <c r="I103" s="4" t="s">
        <v>24</v>
      </c>
      <c r="J103" s="4" t="s">
        <v>25</v>
      </c>
      <c r="K103" s="3">
        <v>782</v>
      </c>
      <c r="L103" s="5">
        <v>23</v>
      </c>
      <c r="M103" s="3">
        <v>17986</v>
      </c>
      <c r="N103" s="3">
        <f>AVERAGE(Mobile_Phone_Sales[[#This Row],[Total_Revenue]]/Mobile_Phone_Sales[[#This Row],[Units_Sold]])</f>
        <v>782</v>
      </c>
      <c r="O103" s="4" t="s">
        <v>26</v>
      </c>
      <c r="P103" s="4" t="s">
        <v>44</v>
      </c>
      <c r="Q103" s="5">
        <v>33</v>
      </c>
      <c r="R103" s="4" t="s">
        <v>52</v>
      </c>
      <c r="S103" s="4" t="s">
        <v>29</v>
      </c>
      <c r="T103" s="4" t="s">
        <v>53</v>
      </c>
      <c r="U103" s="4" t="s">
        <v>73</v>
      </c>
    </row>
    <row r="104" spans="1:21" x14ac:dyDescent="0.25">
      <c r="A104" s="4" t="s">
        <v>199</v>
      </c>
      <c r="B104" s="1">
        <v>45398</v>
      </c>
      <c r="C104" s="4" t="s">
        <v>416</v>
      </c>
      <c r="D104" s="4" t="s">
        <v>408</v>
      </c>
      <c r="E104" s="1">
        <v>45412</v>
      </c>
      <c r="F104" s="4" t="s">
        <v>120</v>
      </c>
      <c r="G104" s="4" t="s">
        <v>57</v>
      </c>
      <c r="H104" s="4" t="s">
        <v>23</v>
      </c>
      <c r="I104" s="4" t="s">
        <v>24</v>
      </c>
      <c r="J104" s="4" t="s">
        <v>25</v>
      </c>
      <c r="K104" s="3">
        <v>375</v>
      </c>
      <c r="L104" s="5">
        <v>19</v>
      </c>
      <c r="M104" s="3">
        <v>7125</v>
      </c>
      <c r="N104" s="3">
        <f>AVERAGE(Mobile_Phone_Sales[[#This Row],[Total_Revenue]]/Mobile_Phone_Sales[[#This Row],[Units_Sold]])</f>
        <v>375</v>
      </c>
      <c r="O104" s="4" t="s">
        <v>35</v>
      </c>
      <c r="P104" s="4" t="s">
        <v>36</v>
      </c>
      <c r="Q104" s="5">
        <v>33</v>
      </c>
      <c r="R104" s="4" t="s">
        <v>52</v>
      </c>
      <c r="S104" s="4" t="s">
        <v>45</v>
      </c>
      <c r="T104" s="4" t="s">
        <v>53</v>
      </c>
      <c r="U104" s="4" t="s">
        <v>54</v>
      </c>
    </row>
    <row r="105" spans="1:21" x14ac:dyDescent="0.25">
      <c r="A105" s="4" t="s">
        <v>200</v>
      </c>
      <c r="B105" s="1">
        <v>45399</v>
      </c>
      <c r="C105" s="4" t="s">
        <v>416</v>
      </c>
      <c r="D105" s="4" t="s">
        <v>409</v>
      </c>
      <c r="E105" s="1">
        <v>45412</v>
      </c>
      <c r="F105" s="4" t="s">
        <v>80</v>
      </c>
      <c r="G105" s="4" t="s">
        <v>42</v>
      </c>
      <c r="H105" s="4" t="s">
        <v>71</v>
      </c>
      <c r="I105" s="4" t="s">
        <v>34</v>
      </c>
      <c r="J105" s="4" t="s">
        <v>25</v>
      </c>
      <c r="K105" s="3">
        <v>584</v>
      </c>
      <c r="L105" s="5">
        <v>21</v>
      </c>
      <c r="M105" s="3">
        <v>12264</v>
      </c>
      <c r="N105" s="3">
        <f>AVERAGE(Mobile_Phone_Sales[[#This Row],[Total_Revenue]]/Mobile_Phone_Sales[[#This Row],[Units_Sold]])</f>
        <v>584</v>
      </c>
      <c r="O105" s="4" t="s">
        <v>65</v>
      </c>
      <c r="P105" s="4" t="s">
        <v>51</v>
      </c>
      <c r="Q105" s="5">
        <v>38</v>
      </c>
      <c r="R105" s="4" t="s">
        <v>28</v>
      </c>
      <c r="S105" s="4" t="s">
        <v>45</v>
      </c>
      <c r="T105" s="4" t="s">
        <v>68</v>
      </c>
      <c r="U105" s="4" t="s">
        <v>83</v>
      </c>
    </row>
    <row r="106" spans="1:21" x14ac:dyDescent="0.25">
      <c r="A106" s="4" t="s">
        <v>201</v>
      </c>
      <c r="B106" s="1">
        <v>45400</v>
      </c>
      <c r="C106" s="4" t="s">
        <v>416</v>
      </c>
      <c r="D106" s="4" t="s">
        <v>410</v>
      </c>
      <c r="E106" s="1">
        <v>45412</v>
      </c>
      <c r="F106" s="4" t="s">
        <v>64</v>
      </c>
      <c r="G106" s="4" t="s">
        <v>50</v>
      </c>
      <c r="H106" s="4" t="s">
        <v>23</v>
      </c>
      <c r="I106" s="4" t="s">
        <v>24</v>
      </c>
      <c r="J106" s="4" t="s">
        <v>25</v>
      </c>
      <c r="K106" s="3">
        <v>837</v>
      </c>
      <c r="L106" s="5">
        <v>83</v>
      </c>
      <c r="M106" s="3">
        <v>69471</v>
      </c>
      <c r="N106" s="3">
        <f>AVERAGE(Mobile_Phone_Sales[[#This Row],[Total_Revenue]]/Mobile_Phone_Sales[[#This Row],[Units_Sold]])</f>
        <v>837</v>
      </c>
      <c r="O106" s="4" t="s">
        <v>65</v>
      </c>
      <c r="P106" s="4" t="s">
        <v>36</v>
      </c>
      <c r="Q106" s="5">
        <v>41</v>
      </c>
      <c r="R106" s="4" t="s">
        <v>28</v>
      </c>
      <c r="S106" s="4" t="s">
        <v>45</v>
      </c>
      <c r="T106" s="4" t="s">
        <v>30</v>
      </c>
      <c r="U106" s="4" t="s">
        <v>202</v>
      </c>
    </row>
    <row r="107" spans="1:21" x14ac:dyDescent="0.25">
      <c r="A107" s="4" t="s">
        <v>203</v>
      </c>
      <c r="B107" s="1">
        <v>45401</v>
      </c>
      <c r="C107" s="4" t="s">
        <v>416</v>
      </c>
      <c r="D107" s="4" t="s">
        <v>411</v>
      </c>
      <c r="E107" s="1">
        <v>45412</v>
      </c>
      <c r="F107" s="4" t="s">
        <v>21</v>
      </c>
      <c r="G107" s="4" t="s">
        <v>22</v>
      </c>
      <c r="H107" s="4" t="s">
        <v>71</v>
      </c>
      <c r="I107" s="4" t="s">
        <v>58</v>
      </c>
      <c r="J107" s="4" t="s">
        <v>25</v>
      </c>
      <c r="K107" s="3">
        <v>547</v>
      </c>
      <c r="L107" s="5">
        <v>3</v>
      </c>
      <c r="M107" s="3">
        <v>1641</v>
      </c>
      <c r="N107" s="3">
        <f>AVERAGE(Mobile_Phone_Sales[[#This Row],[Total_Revenue]]/Mobile_Phone_Sales[[#This Row],[Units_Sold]])</f>
        <v>547</v>
      </c>
      <c r="O107" s="4" t="s">
        <v>35</v>
      </c>
      <c r="P107" s="4" t="s">
        <v>51</v>
      </c>
      <c r="Q107" s="5">
        <v>32</v>
      </c>
      <c r="R107" s="4" t="s">
        <v>52</v>
      </c>
      <c r="S107" s="4" t="s">
        <v>45</v>
      </c>
      <c r="T107" s="4" t="s">
        <v>53</v>
      </c>
      <c r="U107" s="4" t="s">
        <v>94</v>
      </c>
    </row>
    <row r="108" spans="1:21" x14ac:dyDescent="0.25">
      <c r="A108" s="4" t="s">
        <v>204</v>
      </c>
      <c r="B108" s="1">
        <v>45402</v>
      </c>
      <c r="C108" s="4" t="s">
        <v>416</v>
      </c>
      <c r="D108" s="4" t="s">
        <v>412</v>
      </c>
      <c r="E108" s="1">
        <v>45412</v>
      </c>
      <c r="F108" s="4" t="s">
        <v>78</v>
      </c>
      <c r="G108" s="4" t="s">
        <v>22</v>
      </c>
      <c r="H108" s="4" t="s">
        <v>33</v>
      </c>
      <c r="I108" s="4" t="s">
        <v>34</v>
      </c>
      <c r="J108" s="4" t="s">
        <v>25</v>
      </c>
      <c r="K108" s="3">
        <v>741</v>
      </c>
      <c r="L108" s="5">
        <v>73</v>
      </c>
      <c r="M108" s="3">
        <v>54093</v>
      </c>
      <c r="N108" s="3">
        <f>AVERAGE(Mobile_Phone_Sales[[#This Row],[Total_Revenue]]/Mobile_Phone_Sales[[#This Row],[Units_Sold]])</f>
        <v>741</v>
      </c>
      <c r="O108" s="4" t="s">
        <v>65</v>
      </c>
      <c r="P108" s="4" t="s">
        <v>27</v>
      </c>
      <c r="Q108" s="5">
        <v>22</v>
      </c>
      <c r="R108" s="4" t="s">
        <v>87</v>
      </c>
      <c r="S108" s="4" t="s">
        <v>38</v>
      </c>
      <c r="T108" s="4" t="s">
        <v>53</v>
      </c>
      <c r="U108" s="4" t="s">
        <v>73</v>
      </c>
    </row>
    <row r="109" spans="1:21" x14ac:dyDescent="0.25">
      <c r="A109" s="4" t="s">
        <v>205</v>
      </c>
      <c r="B109" s="1">
        <v>45403</v>
      </c>
      <c r="C109" s="4" t="s">
        <v>416</v>
      </c>
      <c r="D109" s="4" t="s">
        <v>413</v>
      </c>
      <c r="E109" s="1">
        <v>45412</v>
      </c>
      <c r="F109" s="4" t="s">
        <v>131</v>
      </c>
      <c r="G109" s="4" t="s">
        <v>103</v>
      </c>
      <c r="H109" s="4" t="s">
        <v>71</v>
      </c>
      <c r="I109" s="4" t="s">
        <v>24</v>
      </c>
      <c r="J109" s="4" t="s">
        <v>104</v>
      </c>
      <c r="K109" s="3">
        <v>836</v>
      </c>
      <c r="L109" s="5">
        <v>66</v>
      </c>
      <c r="M109" s="3">
        <v>55176</v>
      </c>
      <c r="N109" s="3">
        <f>AVERAGE(Mobile_Phone_Sales[[#This Row],[Total_Revenue]]/Mobile_Phone_Sales[[#This Row],[Units_Sold]])</f>
        <v>836</v>
      </c>
      <c r="O109" s="4" t="s">
        <v>26</v>
      </c>
      <c r="P109" s="4" t="s">
        <v>51</v>
      </c>
      <c r="Q109" s="5">
        <v>49</v>
      </c>
      <c r="R109" s="4" t="s">
        <v>59</v>
      </c>
      <c r="S109" s="4" t="s">
        <v>29</v>
      </c>
      <c r="T109" s="4" t="s">
        <v>68</v>
      </c>
      <c r="U109" s="4" t="s">
        <v>127</v>
      </c>
    </row>
    <row r="110" spans="1:21" x14ac:dyDescent="0.25">
      <c r="A110" s="4" t="s">
        <v>206</v>
      </c>
      <c r="B110" s="1">
        <v>45404</v>
      </c>
      <c r="C110" s="4" t="s">
        <v>416</v>
      </c>
      <c r="D110" s="4" t="s">
        <v>407</v>
      </c>
      <c r="E110" s="1">
        <v>45412</v>
      </c>
      <c r="F110" s="4" t="s">
        <v>85</v>
      </c>
      <c r="G110" s="4" t="s">
        <v>22</v>
      </c>
      <c r="H110" s="4" t="s">
        <v>23</v>
      </c>
      <c r="I110" s="4" t="s">
        <v>34</v>
      </c>
      <c r="J110" s="4" t="s">
        <v>25</v>
      </c>
      <c r="K110" s="3">
        <v>1036</v>
      </c>
      <c r="L110" s="5">
        <v>69</v>
      </c>
      <c r="M110" s="3">
        <v>71484</v>
      </c>
      <c r="N110" s="3">
        <f>AVERAGE(Mobile_Phone_Sales[[#This Row],[Total_Revenue]]/Mobile_Phone_Sales[[#This Row],[Units_Sold]])</f>
        <v>1036</v>
      </c>
      <c r="O110" s="4" t="s">
        <v>65</v>
      </c>
      <c r="P110" s="4" t="s">
        <v>27</v>
      </c>
      <c r="Q110" s="5">
        <v>44</v>
      </c>
      <c r="R110" s="4" t="s">
        <v>59</v>
      </c>
      <c r="S110" s="4" t="s">
        <v>38</v>
      </c>
      <c r="T110" s="4" t="s">
        <v>46</v>
      </c>
      <c r="U110" s="4" t="s">
        <v>76</v>
      </c>
    </row>
    <row r="111" spans="1:21" x14ac:dyDescent="0.25">
      <c r="A111" s="4" t="s">
        <v>207</v>
      </c>
      <c r="B111" s="1">
        <v>45405</v>
      </c>
      <c r="C111" s="4" t="s">
        <v>416</v>
      </c>
      <c r="D111" s="4" t="s">
        <v>408</v>
      </c>
      <c r="E111" s="1">
        <v>45412</v>
      </c>
      <c r="F111" s="4" t="s">
        <v>78</v>
      </c>
      <c r="G111" s="4" t="s">
        <v>22</v>
      </c>
      <c r="H111" s="4" t="s">
        <v>33</v>
      </c>
      <c r="I111" s="4" t="s">
        <v>58</v>
      </c>
      <c r="J111" s="4" t="s">
        <v>25</v>
      </c>
      <c r="K111" s="3">
        <v>725</v>
      </c>
      <c r="L111" s="5">
        <v>79</v>
      </c>
      <c r="M111" s="3">
        <v>57275</v>
      </c>
      <c r="N111" s="3">
        <f>AVERAGE(Mobile_Phone_Sales[[#This Row],[Total_Revenue]]/Mobile_Phone_Sales[[#This Row],[Units_Sold]])</f>
        <v>725</v>
      </c>
      <c r="O111" s="4" t="s">
        <v>65</v>
      </c>
      <c r="P111" s="4" t="s">
        <v>44</v>
      </c>
      <c r="Q111" s="5">
        <v>44</v>
      </c>
      <c r="R111" s="4" t="s">
        <v>59</v>
      </c>
      <c r="S111" s="4" t="s">
        <v>45</v>
      </c>
      <c r="T111" s="4" t="s">
        <v>68</v>
      </c>
      <c r="U111" s="4" t="s">
        <v>88</v>
      </c>
    </row>
    <row r="112" spans="1:21" x14ac:dyDescent="0.25">
      <c r="A112" s="4" t="s">
        <v>208</v>
      </c>
      <c r="B112" s="1">
        <v>45406</v>
      </c>
      <c r="C112" s="4" t="s">
        <v>416</v>
      </c>
      <c r="D112" s="4" t="s">
        <v>409</v>
      </c>
      <c r="E112" s="1">
        <v>45412</v>
      </c>
      <c r="F112" s="4" t="s">
        <v>85</v>
      </c>
      <c r="G112" s="4" t="s">
        <v>22</v>
      </c>
      <c r="H112" s="4" t="s">
        <v>23</v>
      </c>
      <c r="I112" s="4" t="s">
        <v>43</v>
      </c>
      <c r="J112" s="4" t="s">
        <v>25</v>
      </c>
      <c r="K112" s="3">
        <v>1017</v>
      </c>
      <c r="L112" s="5">
        <v>68</v>
      </c>
      <c r="M112" s="3">
        <v>69156</v>
      </c>
      <c r="N112" s="3">
        <f>AVERAGE(Mobile_Phone_Sales[[#This Row],[Total_Revenue]]/Mobile_Phone_Sales[[#This Row],[Units_Sold]])</f>
        <v>1017</v>
      </c>
      <c r="O112" s="4" t="s">
        <v>35</v>
      </c>
      <c r="P112" s="4" t="s">
        <v>51</v>
      </c>
      <c r="Q112" s="5">
        <v>54</v>
      </c>
      <c r="R112" s="4" t="s">
        <v>37</v>
      </c>
      <c r="S112" s="4" t="s">
        <v>29</v>
      </c>
      <c r="T112" s="4" t="s">
        <v>68</v>
      </c>
      <c r="U112" s="4" t="s">
        <v>132</v>
      </c>
    </row>
    <row r="113" spans="1:21" x14ac:dyDescent="0.25">
      <c r="A113" s="4" t="s">
        <v>209</v>
      </c>
      <c r="B113" s="1">
        <v>45407</v>
      </c>
      <c r="C113" s="4" t="s">
        <v>416</v>
      </c>
      <c r="D113" s="4" t="s">
        <v>410</v>
      </c>
      <c r="E113" s="1">
        <v>45412</v>
      </c>
      <c r="F113" s="4" t="s">
        <v>82</v>
      </c>
      <c r="G113" s="4" t="s">
        <v>50</v>
      </c>
      <c r="H113" s="4" t="s">
        <v>23</v>
      </c>
      <c r="I113" s="4" t="s">
        <v>24</v>
      </c>
      <c r="J113" s="4" t="s">
        <v>25</v>
      </c>
      <c r="K113" s="3">
        <v>509</v>
      </c>
      <c r="L113" s="5">
        <v>16</v>
      </c>
      <c r="M113" s="3">
        <v>8144</v>
      </c>
      <c r="N113" s="3">
        <f>AVERAGE(Mobile_Phone_Sales[[#This Row],[Total_Revenue]]/Mobile_Phone_Sales[[#This Row],[Units_Sold]])</f>
        <v>509</v>
      </c>
      <c r="O113" s="4" t="s">
        <v>65</v>
      </c>
      <c r="P113" s="4" t="s">
        <v>36</v>
      </c>
      <c r="Q113" s="5">
        <v>38</v>
      </c>
      <c r="R113" s="4" t="s">
        <v>28</v>
      </c>
      <c r="S113" s="4" t="s">
        <v>29</v>
      </c>
      <c r="T113" s="4" t="s">
        <v>46</v>
      </c>
      <c r="U113" s="4" t="s">
        <v>118</v>
      </c>
    </row>
    <row r="114" spans="1:21" x14ac:dyDescent="0.25">
      <c r="A114" s="4" t="s">
        <v>210</v>
      </c>
      <c r="B114" s="1">
        <v>45408</v>
      </c>
      <c r="C114" s="4" t="s">
        <v>416</v>
      </c>
      <c r="D114" s="4" t="s">
        <v>411</v>
      </c>
      <c r="E114" s="1">
        <v>45412</v>
      </c>
      <c r="F114" s="4" t="s">
        <v>49</v>
      </c>
      <c r="G114" s="4" t="s">
        <v>50</v>
      </c>
      <c r="H114" s="4" t="s">
        <v>23</v>
      </c>
      <c r="I114" s="4" t="s">
        <v>58</v>
      </c>
      <c r="J114" s="4" t="s">
        <v>25</v>
      </c>
      <c r="K114" s="3">
        <v>335</v>
      </c>
      <c r="L114" s="5">
        <v>58</v>
      </c>
      <c r="M114" s="3">
        <v>19430</v>
      </c>
      <c r="N114" s="3">
        <f>AVERAGE(Mobile_Phone_Sales[[#This Row],[Total_Revenue]]/Mobile_Phone_Sales[[#This Row],[Units_Sold]])</f>
        <v>335</v>
      </c>
      <c r="O114" s="4" t="s">
        <v>65</v>
      </c>
      <c r="P114" s="4" t="s">
        <v>27</v>
      </c>
      <c r="Q114" s="5">
        <v>39</v>
      </c>
      <c r="R114" s="4" t="s">
        <v>28</v>
      </c>
      <c r="S114" s="4" t="s">
        <v>45</v>
      </c>
      <c r="T114" s="4" t="s">
        <v>68</v>
      </c>
      <c r="U114" s="4" t="s">
        <v>195</v>
      </c>
    </row>
    <row r="115" spans="1:21" x14ac:dyDescent="0.25">
      <c r="A115" s="4" t="s">
        <v>211</v>
      </c>
      <c r="B115" s="1">
        <v>45409</v>
      </c>
      <c r="C115" s="4" t="s">
        <v>416</v>
      </c>
      <c r="D115" s="4" t="s">
        <v>412</v>
      </c>
      <c r="E115" s="1">
        <v>45412</v>
      </c>
      <c r="F115" s="4" t="s">
        <v>21</v>
      </c>
      <c r="G115" s="4" t="s">
        <v>22</v>
      </c>
      <c r="H115" s="4" t="s">
        <v>23</v>
      </c>
      <c r="I115" s="4" t="s">
        <v>72</v>
      </c>
      <c r="J115" s="4" t="s">
        <v>25</v>
      </c>
      <c r="K115" s="3">
        <v>521</v>
      </c>
      <c r="L115" s="5">
        <v>14</v>
      </c>
      <c r="M115" s="3">
        <v>7294</v>
      </c>
      <c r="N115" s="3">
        <f>AVERAGE(Mobile_Phone_Sales[[#This Row],[Total_Revenue]]/Mobile_Phone_Sales[[#This Row],[Units_Sold]])</f>
        <v>521</v>
      </c>
      <c r="O115" s="4" t="s">
        <v>26</v>
      </c>
      <c r="P115" s="4" t="s">
        <v>51</v>
      </c>
      <c r="Q115" s="5">
        <v>34</v>
      </c>
      <c r="R115" s="4" t="s">
        <v>28</v>
      </c>
      <c r="S115" s="4" t="s">
        <v>45</v>
      </c>
      <c r="T115" s="4" t="s">
        <v>68</v>
      </c>
      <c r="U115" s="4" t="s">
        <v>132</v>
      </c>
    </row>
    <row r="116" spans="1:21" x14ac:dyDescent="0.25">
      <c r="A116" s="4" t="s">
        <v>212</v>
      </c>
      <c r="B116" s="1">
        <v>45410</v>
      </c>
      <c r="C116" s="4" t="s">
        <v>416</v>
      </c>
      <c r="D116" s="4" t="s">
        <v>413</v>
      </c>
      <c r="E116" s="1">
        <v>45412</v>
      </c>
      <c r="F116" s="4" t="s">
        <v>159</v>
      </c>
      <c r="G116" s="4" t="s">
        <v>103</v>
      </c>
      <c r="H116" s="4" t="s">
        <v>33</v>
      </c>
      <c r="I116" s="4" t="s">
        <v>72</v>
      </c>
      <c r="J116" s="4" t="s">
        <v>104</v>
      </c>
      <c r="K116" s="3">
        <v>450</v>
      </c>
      <c r="L116" s="5">
        <v>43</v>
      </c>
      <c r="M116" s="3">
        <v>19350</v>
      </c>
      <c r="N116" s="3">
        <f>AVERAGE(Mobile_Phone_Sales[[#This Row],[Total_Revenue]]/Mobile_Phone_Sales[[#This Row],[Units_Sold]])</f>
        <v>450</v>
      </c>
      <c r="O116" s="4" t="s">
        <v>26</v>
      </c>
      <c r="P116" s="4" t="s">
        <v>27</v>
      </c>
      <c r="Q116" s="5">
        <v>36</v>
      </c>
      <c r="R116" s="4" t="s">
        <v>28</v>
      </c>
      <c r="S116" s="4" t="s">
        <v>45</v>
      </c>
      <c r="T116" s="4" t="s">
        <v>68</v>
      </c>
      <c r="U116" s="4" t="s">
        <v>121</v>
      </c>
    </row>
    <row r="117" spans="1:21" x14ac:dyDescent="0.25">
      <c r="A117" s="4" t="s">
        <v>213</v>
      </c>
      <c r="B117" s="1">
        <v>45411</v>
      </c>
      <c r="C117" s="4" t="s">
        <v>416</v>
      </c>
      <c r="D117" s="4" t="s">
        <v>407</v>
      </c>
      <c r="E117" s="1">
        <v>45412</v>
      </c>
      <c r="F117" s="4" t="s">
        <v>131</v>
      </c>
      <c r="G117" s="4" t="s">
        <v>103</v>
      </c>
      <c r="H117" s="4" t="s">
        <v>23</v>
      </c>
      <c r="I117" s="4" t="s">
        <v>34</v>
      </c>
      <c r="J117" s="4" t="s">
        <v>104</v>
      </c>
      <c r="K117" s="3">
        <v>803</v>
      </c>
      <c r="L117" s="5">
        <v>49</v>
      </c>
      <c r="M117" s="3">
        <v>39347</v>
      </c>
      <c r="N117" s="3">
        <f>AVERAGE(Mobile_Phone_Sales[[#This Row],[Total_Revenue]]/Mobile_Phone_Sales[[#This Row],[Units_Sold]])</f>
        <v>803</v>
      </c>
      <c r="O117" s="4" t="s">
        <v>35</v>
      </c>
      <c r="P117" s="4" t="s">
        <v>51</v>
      </c>
      <c r="Q117" s="5">
        <v>46</v>
      </c>
      <c r="R117" s="4" t="s">
        <v>59</v>
      </c>
      <c r="S117" s="4" t="s">
        <v>45</v>
      </c>
      <c r="T117" s="4" t="s">
        <v>53</v>
      </c>
      <c r="U117" s="4" t="s">
        <v>54</v>
      </c>
    </row>
    <row r="118" spans="1:21" x14ac:dyDescent="0.25">
      <c r="A118" s="4" t="s">
        <v>214</v>
      </c>
      <c r="B118" s="1">
        <v>45412</v>
      </c>
      <c r="C118" s="4" t="s">
        <v>416</v>
      </c>
      <c r="D118" s="4" t="s">
        <v>408</v>
      </c>
      <c r="E118" s="1">
        <v>45412</v>
      </c>
      <c r="F118" s="4" t="s">
        <v>126</v>
      </c>
      <c r="G118" s="4" t="s">
        <v>103</v>
      </c>
      <c r="H118" s="4" t="s">
        <v>23</v>
      </c>
      <c r="I118" s="4" t="s">
        <v>24</v>
      </c>
      <c r="J118" s="4" t="s">
        <v>104</v>
      </c>
      <c r="K118" s="3">
        <v>828</v>
      </c>
      <c r="L118" s="5">
        <v>68</v>
      </c>
      <c r="M118" s="3">
        <v>56304</v>
      </c>
      <c r="N118" s="3">
        <f>AVERAGE(Mobile_Phone_Sales[[#This Row],[Total_Revenue]]/Mobile_Phone_Sales[[#This Row],[Units_Sold]])</f>
        <v>828</v>
      </c>
      <c r="O118" s="4" t="s">
        <v>26</v>
      </c>
      <c r="P118" s="4" t="s">
        <v>51</v>
      </c>
      <c r="Q118" s="5">
        <v>64</v>
      </c>
      <c r="R118" s="4" t="s">
        <v>66</v>
      </c>
      <c r="S118" s="4" t="s">
        <v>29</v>
      </c>
      <c r="T118" s="4" t="s">
        <v>46</v>
      </c>
      <c r="U118" s="4" t="s">
        <v>47</v>
      </c>
    </row>
    <row r="119" spans="1:21" x14ac:dyDescent="0.25">
      <c r="A119" s="4" t="s">
        <v>215</v>
      </c>
      <c r="B119" s="1">
        <v>45413</v>
      </c>
      <c r="C119" s="4" t="s">
        <v>417</v>
      </c>
      <c r="D119" s="4" t="s">
        <v>409</v>
      </c>
      <c r="E119" s="1">
        <v>45443</v>
      </c>
      <c r="F119" s="4" t="s">
        <v>129</v>
      </c>
      <c r="G119" s="4" t="s">
        <v>103</v>
      </c>
      <c r="H119" s="4" t="s">
        <v>71</v>
      </c>
      <c r="I119" s="4" t="s">
        <v>34</v>
      </c>
      <c r="J119" s="4" t="s">
        <v>104</v>
      </c>
      <c r="K119" s="3">
        <v>1127</v>
      </c>
      <c r="L119" s="5">
        <v>85</v>
      </c>
      <c r="M119" s="3">
        <v>95795</v>
      </c>
      <c r="N119" s="3">
        <f>AVERAGE(Mobile_Phone_Sales[[#This Row],[Total_Revenue]]/Mobile_Phone_Sales[[#This Row],[Units_Sold]])</f>
        <v>1127</v>
      </c>
      <c r="O119" s="4" t="s">
        <v>65</v>
      </c>
      <c r="P119" s="4" t="s">
        <v>44</v>
      </c>
      <c r="Q119" s="5">
        <v>19</v>
      </c>
      <c r="R119" s="4" t="s">
        <v>87</v>
      </c>
      <c r="S119" s="4" t="s">
        <v>29</v>
      </c>
      <c r="T119" s="4" t="s">
        <v>46</v>
      </c>
      <c r="U119" s="4" t="s">
        <v>111</v>
      </c>
    </row>
    <row r="120" spans="1:21" x14ac:dyDescent="0.25">
      <c r="A120" s="4" t="s">
        <v>216</v>
      </c>
      <c r="B120" s="1">
        <v>45414</v>
      </c>
      <c r="C120" s="4" t="s">
        <v>417</v>
      </c>
      <c r="D120" s="4" t="s">
        <v>410</v>
      </c>
      <c r="E120" s="1">
        <v>45443</v>
      </c>
      <c r="F120" s="4" t="s">
        <v>96</v>
      </c>
      <c r="G120" s="4" t="s">
        <v>42</v>
      </c>
      <c r="H120" s="4" t="s">
        <v>33</v>
      </c>
      <c r="I120" s="4" t="s">
        <v>72</v>
      </c>
      <c r="J120" s="4" t="s">
        <v>25</v>
      </c>
      <c r="K120" s="3">
        <v>873</v>
      </c>
      <c r="L120" s="5">
        <v>8</v>
      </c>
      <c r="M120" s="3">
        <v>6984</v>
      </c>
      <c r="N120" s="3">
        <f>AVERAGE(Mobile_Phone_Sales[[#This Row],[Total_Revenue]]/Mobile_Phone_Sales[[#This Row],[Units_Sold]])</f>
        <v>873</v>
      </c>
      <c r="O120" s="4" t="s">
        <v>26</v>
      </c>
      <c r="P120" s="4" t="s">
        <v>51</v>
      </c>
      <c r="Q120" s="5">
        <v>49</v>
      </c>
      <c r="R120" s="4" t="s">
        <v>59</v>
      </c>
      <c r="S120" s="4" t="s">
        <v>45</v>
      </c>
      <c r="T120" s="4" t="s">
        <v>53</v>
      </c>
      <c r="U120" s="4" t="s">
        <v>54</v>
      </c>
    </row>
    <row r="121" spans="1:21" x14ac:dyDescent="0.25">
      <c r="A121" s="4" t="s">
        <v>217</v>
      </c>
      <c r="B121" s="1">
        <v>45415</v>
      </c>
      <c r="C121" s="4" t="s">
        <v>417</v>
      </c>
      <c r="D121" s="4" t="s">
        <v>411</v>
      </c>
      <c r="E121" s="1">
        <v>45443</v>
      </c>
      <c r="F121" s="4" t="s">
        <v>126</v>
      </c>
      <c r="G121" s="4" t="s">
        <v>103</v>
      </c>
      <c r="H121" s="4" t="s">
        <v>71</v>
      </c>
      <c r="I121" s="4" t="s">
        <v>34</v>
      </c>
      <c r="J121" s="4" t="s">
        <v>104</v>
      </c>
      <c r="K121" s="3">
        <v>880</v>
      </c>
      <c r="L121" s="5">
        <v>84</v>
      </c>
      <c r="M121" s="3">
        <v>73920</v>
      </c>
      <c r="N121" s="3">
        <f>AVERAGE(Mobile_Phone_Sales[[#This Row],[Total_Revenue]]/Mobile_Phone_Sales[[#This Row],[Units_Sold]])</f>
        <v>880</v>
      </c>
      <c r="O121" s="4" t="s">
        <v>26</v>
      </c>
      <c r="P121" s="4" t="s">
        <v>27</v>
      </c>
      <c r="Q121" s="5">
        <v>20</v>
      </c>
      <c r="R121" s="4" t="s">
        <v>87</v>
      </c>
      <c r="S121" s="4" t="s">
        <v>29</v>
      </c>
      <c r="T121" s="4" t="s">
        <v>68</v>
      </c>
      <c r="U121" s="4" t="s">
        <v>132</v>
      </c>
    </row>
    <row r="122" spans="1:21" x14ac:dyDescent="0.25">
      <c r="A122" s="4" t="s">
        <v>218</v>
      </c>
      <c r="B122" s="1">
        <v>45416</v>
      </c>
      <c r="C122" s="4" t="s">
        <v>417</v>
      </c>
      <c r="D122" s="4" t="s">
        <v>412</v>
      </c>
      <c r="E122" s="1">
        <v>45443</v>
      </c>
      <c r="F122" s="4" t="s">
        <v>126</v>
      </c>
      <c r="G122" s="4" t="s">
        <v>103</v>
      </c>
      <c r="H122" s="4" t="s">
        <v>71</v>
      </c>
      <c r="I122" s="4" t="s">
        <v>58</v>
      </c>
      <c r="J122" s="4" t="s">
        <v>104</v>
      </c>
      <c r="K122" s="3">
        <v>821</v>
      </c>
      <c r="L122" s="5">
        <v>93</v>
      </c>
      <c r="M122" s="3">
        <v>76353</v>
      </c>
      <c r="N122" s="3">
        <f>AVERAGE(Mobile_Phone_Sales[[#This Row],[Total_Revenue]]/Mobile_Phone_Sales[[#This Row],[Units_Sold]])</f>
        <v>821</v>
      </c>
      <c r="O122" s="4" t="s">
        <v>65</v>
      </c>
      <c r="P122" s="4" t="s">
        <v>27</v>
      </c>
      <c r="Q122" s="5">
        <v>25</v>
      </c>
      <c r="R122" s="4" t="s">
        <v>87</v>
      </c>
      <c r="S122" s="4" t="s">
        <v>29</v>
      </c>
      <c r="T122" s="4" t="s">
        <v>53</v>
      </c>
      <c r="U122" s="4" t="s">
        <v>62</v>
      </c>
    </row>
    <row r="123" spans="1:21" x14ac:dyDescent="0.25">
      <c r="A123" s="4" t="s">
        <v>219</v>
      </c>
      <c r="B123" s="1">
        <v>45417</v>
      </c>
      <c r="C123" s="4" t="s">
        <v>417</v>
      </c>
      <c r="D123" s="4" t="s">
        <v>413</v>
      </c>
      <c r="E123" s="1">
        <v>45443</v>
      </c>
      <c r="F123" s="4" t="s">
        <v>96</v>
      </c>
      <c r="G123" s="4" t="s">
        <v>42</v>
      </c>
      <c r="H123" s="4" t="s">
        <v>33</v>
      </c>
      <c r="I123" s="4" t="s">
        <v>43</v>
      </c>
      <c r="J123" s="4" t="s">
        <v>25</v>
      </c>
      <c r="K123" s="3">
        <v>838</v>
      </c>
      <c r="L123" s="5">
        <v>51</v>
      </c>
      <c r="M123" s="3">
        <v>42738</v>
      </c>
      <c r="N123" s="3">
        <f>AVERAGE(Mobile_Phone_Sales[[#This Row],[Total_Revenue]]/Mobile_Phone_Sales[[#This Row],[Units_Sold]])</f>
        <v>838</v>
      </c>
      <c r="O123" s="4" t="s">
        <v>26</v>
      </c>
      <c r="P123" s="4" t="s">
        <v>27</v>
      </c>
      <c r="Q123" s="5">
        <v>19</v>
      </c>
      <c r="R123" s="4" t="s">
        <v>87</v>
      </c>
      <c r="S123" s="4" t="s">
        <v>29</v>
      </c>
      <c r="T123" s="4" t="s">
        <v>68</v>
      </c>
      <c r="U123" s="4" t="s">
        <v>69</v>
      </c>
    </row>
    <row r="124" spans="1:21" x14ac:dyDescent="0.25">
      <c r="A124" s="4" t="s">
        <v>220</v>
      </c>
      <c r="B124" s="1">
        <v>45418</v>
      </c>
      <c r="C124" s="4" t="s">
        <v>417</v>
      </c>
      <c r="D124" s="4" t="s">
        <v>407</v>
      </c>
      <c r="E124" s="1">
        <v>45443</v>
      </c>
      <c r="F124" s="4" t="s">
        <v>21</v>
      </c>
      <c r="G124" s="4" t="s">
        <v>22</v>
      </c>
      <c r="H124" s="4" t="s">
        <v>71</v>
      </c>
      <c r="I124" s="4" t="s">
        <v>43</v>
      </c>
      <c r="J124" s="4" t="s">
        <v>25</v>
      </c>
      <c r="K124" s="3">
        <v>540</v>
      </c>
      <c r="L124" s="5">
        <v>25</v>
      </c>
      <c r="M124" s="3">
        <v>13500</v>
      </c>
      <c r="N124" s="3">
        <f>AVERAGE(Mobile_Phone_Sales[[#This Row],[Total_Revenue]]/Mobile_Phone_Sales[[#This Row],[Units_Sold]])</f>
        <v>540</v>
      </c>
      <c r="O124" s="4" t="s">
        <v>26</v>
      </c>
      <c r="P124" s="4" t="s">
        <v>51</v>
      </c>
      <c r="Q124" s="5">
        <v>64</v>
      </c>
      <c r="R124" s="4" t="s">
        <v>66</v>
      </c>
      <c r="S124" s="4" t="s">
        <v>29</v>
      </c>
      <c r="T124" s="4" t="s">
        <v>46</v>
      </c>
      <c r="U124" s="4" t="s">
        <v>60</v>
      </c>
    </row>
    <row r="125" spans="1:21" x14ac:dyDescent="0.25">
      <c r="A125" s="4" t="s">
        <v>221</v>
      </c>
      <c r="B125" s="1">
        <v>45420</v>
      </c>
      <c r="C125" s="4" t="s">
        <v>417</v>
      </c>
      <c r="D125" s="4" t="s">
        <v>409</v>
      </c>
      <c r="E125" s="1">
        <v>45443</v>
      </c>
      <c r="F125" s="4" t="s">
        <v>21</v>
      </c>
      <c r="G125" s="4" t="s">
        <v>22</v>
      </c>
      <c r="H125" s="4" t="s">
        <v>33</v>
      </c>
      <c r="I125" s="4" t="s">
        <v>43</v>
      </c>
      <c r="J125" s="4" t="s">
        <v>25</v>
      </c>
      <c r="K125" s="3">
        <v>520</v>
      </c>
      <c r="L125" s="5">
        <v>62</v>
      </c>
      <c r="M125" s="3">
        <v>32240</v>
      </c>
      <c r="N125" s="3">
        <f>AVERAGE(Mobile_Phone_Sales[[#This Row],[Total_Revenue]]/Mobile_Phone_Sales[[#This Row],[Units_Sold]])</f>
        <v>520</v>
      </c>
      <c r="O125" s="4" t="s">
        <v>65</v>
      </c>
      <c r="P125" s="4" t="s">
        <v>51</v>
      </c>
      <c r="Q125" s="5">
        <v>21</v>
      </c>
      <c r="R125" s="4" t="s">
        <v>87</v>
      </c>
      <c r="S125" s="4" t="s">
        <v>45</v>
      </c>
      <c r="T125" s="4" t="s">
        <v>46</v>
      </c>
      <c r="U125" s="4" t="s">
        <v>111</v>
      </c>
    </row>
    <row r="126" spans="1:21" x14ac:dyDescent="0.25">
      <c r="A126" s="4" t="s">
        <v>222</v>
      </c>
      <c r="B126" s="1">
        <v>45421</v>
      </c>
      <c r="C126" s="4" t="s">
        <v>417</v>
      </c>
      <c r="D126" s="4" t="s">
        <v>410</v>
      </c>
      <c r="E126" s="1">
        <v>45443</v>
      </c>
      <c r="F126" s="4" t="s">
        <v>41</v>
      </c>
      <c r="G126" s="4" t="s">
        <v>42</v>
      </c>
      <c r="H126" s="4" t="s">
        <v>23</v>
      </c>
      <c r="I126" s="4" t="s">
        <v>72</v>
      </c>
      <c r="J126" s="4" t="s">
        <v>25</v>
      </c>
      <c r="K126" s="3">
        <v>669</v>
      </c>
      <c r="L126" s="5">
        <v>54</v>
      </c>
      <c r="M126" s="3">
        <v>36126</v>
      </c>
      <c r="N126" s="3">
        <f>AVERAGE(Mobile_Phone_Sales[[#This Row],[Total_Revenue]]/Mobile_Phone_Sales[[#This Row],[Units_Sold]])</f>
        <v>669</v>
      </c>
      <c r="O126" s="4" t="s">
        <v>35</v>
      </c>
      <c r="P126" s="4" t="s">
        <v>36</v>
      </c>
      <c r="Q126" s="5">
        <v>43</v>
      </c>
      <c r="R126" s="4" t="s">
        <v>59</v>
      </c>
      <c r="S126" s="4" t="s">
        <v>45</v>
      </c>
      <c r="T126" s="4" t="s">
        <v>68</v>
      </c>
      <c r="U126" s="4" t="s">
        <v>170</v>
      </c>
    </row>
    <row r="127" spans="1:21" x14ac:dyDescent="0.25">
      <c r="A127" s="4" t="s">
        <v>223</v>
      </c>
      <c r="B127" s="1">
        <v>45423</v>
      </c>
      <c r="C127" s="4" t="s">
        <v>417</v>
      </c>
      <c r="D127" s="4" t="s">
        <v>412</v>
      </c>
      <c r="E127" s="1">
        <v>45443</v>
      </c>
      <c r="F127" s="4" t="s">
        <v>75</v>
      </c>
      <c r="G127" s="4" t="s">
        <v>50</v>
      </c>
      <c r="H127" s="4" t="s">
        <v>23</v>
      </c>
      <c r="I127" s="4" t="s">
        <v>72</v>
      </c>
      <c r="J127" s="4" t="s">
        <v>25</v>
      </c>
      <c r="K127" s="3">
        <v>395</v>
      </c>
      <c r="L127" s="5">
        <v>47</v>
      </c>
      <c r="M127" s="3">
        <v>18565</v>
      </c>
      <c r="N127" s="3">
        <f>AVERAGE(Mobile_Phone_Sales[[#This Row],[Total_Revenue]]/Mobile_Phone_Sales[[#This Row],[Units_Sold]])</f>
        <v>395</v>
      </c>
      <c r="O127" s="4" t="s">
        <v>35</v>
      </c>
      <c r="P127" s="4" t="s">
        <v>36</v>
      </c>
      <c r="Q127" s="5">
        <v>34</v>
      </c>
      <c r="R127" s="4" t="s">
        <v>28</v>
      </c>
      <c r="S127" s="4" t="s">
        <v>29</v>
      </c>
      <c r="T127" s="4" t="s">
        <v>53</v>
      </c>
      <c r="U127" s="4" t="s">
        <v>62</v>
      </c>
    </row>
    <row r="128" spans="1:21" x14ac:dyDescent="0.25">
      <c r="A128" s="4" t="s">
        <v>224</v>
      </c>
      <c r="B128" s="1">
        <v>45424</v>
      </c>
      <c r="C128" s="4" t="s">
        <v>417</v>
      </c>
      <c r="D128" s="4" t="s">
        <v>413</v>
      </c>
      <c r="E128" s="1">
        <v>45443</v>
      </c>
      <c r="F128" s="4" t="s">
        <v>80</v>
      </c>
      <c r="G128" s="4" t="s">
        <v>42</v>
      </c>
      <c r="H128" s="4" t="s">
        <v>33</v>
      </c>
      <c r="I128" s="4" t="s">
        <v>58</v>
      </c>
      <c r="J128" s="4" t="s">
        <v>25</v>
      </c>
      <c r="K128" s="3">
        <v>569</v>
      </c>
      <c r="L128" s="5">
        <v>64</v>
      </c>
      <c r="M128" s="3">
        <v>36416</v>
      </c>
      <c r="N128" s="3">
        <f>AVERAGE(Mobile_Phone_Sales[[#This Row],[Total_Revenue]]/Mobile_Phone_Sales[[#This Row],[Units_Sold]])</f>
        <v>569</v>
      </c>
      <c r="O128" s="4" t="s">
        <v>26</v>
      </c>
      <c r="P128" s="4" t="s">
        <v>51</v>
      </c>
      <c r="Q128" s="5">
        <v>27</v>
      </c>
      <c r="R128" s="4" t="s">
        <v>52</v>
      </c>
      <c r="S128" s="4" t="s">
        <v>29</v>
      </c>
      <c r="T128" s="4" t="s">
        <v>53</v>
      </c>
      <c r="U128" s="4" t="s">
        <v>94</v>
      </c>
    </row>
    <row r="129" spans="1:21" x14ac:dyDescent="0.25">
      <c r="A129" s="4" t="s">
        <v>225</v>
      </c>
      <c r="B129" s="1">
        <v>45425</v>
      </c>
      <c r="C129" s="4" t="s">
        <v>417</v>
      </c>
      <c r="D129" s="4" t="s">
        <v>407</v>
      </c>
      <c r="E129" s="1">
        <v>45443</v>
      </c>
      <c r="F129" s="4" t="s">
        <v>49</v>
      </c>
      <c r="G129" s="4" t="s">
        <v>50</v>
      </c>
      <c r="H129" s="4" t="s">
        <v>71</v>
      </c>
      <c r="I129" s="4" t="s">
        <v>58</v>
      </c>
      <c r="J129" s="4" t="s">
        <v>25</v>
      </c>
      <c r="K129" s="3">
        <v>340</v>
      </c>
      <c r="L129" s="5">
        <v>6</v>
      </c>
      <c r="M129" s="3">
        <v>2040</v>
      </c>
      <c r="N129" s="3">
        <f>AVERAGE(Mobile_Phone_Sales[[#This Row],[Total_Revenue]]/Mobile_Phone_Sales[[#This Row],[Units_Sold]])</f>
        <v>340</v>
      </c>
      <c r="O129" s="4" t="s">
        <v>26</v>
      </c>
      <c r="P129" s="4" t="s">
        <v>44</v>
      </c>
      <c r="Q129" s="5">
        <v>26</v>
      </c>
      <c r="R129" s="4" t="s">
        <v>52</v>
      </c>
      <c r="S129" s="4" t="s">
        <v>38</v>
      </c>
      <c r="T129" s="4" t="s">
        <v>53</v>
      </c>
      <c r="U129" s="4" t="s">
        <v>62</v>
      </c>
    </row>
    <row r="130" spans="1:21" x14ac:dyDescent="0.25">
      <c r="A130" s="4" t="s">
        <v>226</v>
      </c>
      <c r="B130" s="1">
        <v>45426</v>
      </c>
      <c r="C130" s="4" t="s">
        <v>417</v>
      </c>
      <c r="D130" s="4" t="s">
        <v>408</v>
      </c>
      <c r="E130" s="1">
        <v>45443</v>
      </c>
      <c r="F130" s="4" t="s">
        <v>82</v>
      </c>
      <c r="G130" s="4" t="s">
        <v>50</v>
      </c>
      <c r="H130" s="4" t="s">
        <v>71</v>
      </c>
      <c r="I130" s="4" t="s">
        <v>72</v>
      </c>
      <c r="J130" s="4" t="s">
        <v>25</v>
      </c>
      <c r="K130" s="3">
        <v>528</v>
      </c>
      <c r="L130" s="5">
        <v>16</v>
      </c>
      <c r="M130" s="3">
        <v>8448</v>
      </c>
      <c r="N130" s="3">
        <f>AVERAGE(Mobile_Phone_Sales[[#This Row],[Total_Revenue]]/Mobile_Phone_Sales[[#This Row],[Units_Sold]])</f>
        <v>528</v>
      </c>
      <c r="O130" s="4" t="s">
        <v>26</v>
      </c>
      <c r="P130" s="4" t="s">
        <v>44</v>
      </c>
      <c r="Q130" s="5">
        <v>29</v>
      </c>
      <c r="R130" s="4" t="s">
        <v>52</v>
      </c>
      <c r="S130" s="4" t="s">
        <v>45</v>
      </c>
      <c r="T130" s="4" t="s">
        <v>53</v>
      </c>
      <c r="U130" s="4" t="s">
        <v>94</v>
      </c>
    </row>
    <row r="131" spans="1:21" x14ac:dyDescent="0.25">
      <c r="A131" s="4" t="s">
        <v>227</v>
      </c>
      <c r="B131" s="1">
        <v>45427</v>
      </c>
      <c r="C131" s="4" t="s">
        <v>417</v>
      </c>
      <c r="D131" s="4" t="s">
        <v>409</v>
      </c>
      <c r="E131" s="1">
        <v>45443</v>
      </c>
      <c r="F131" s="4" t="s">
        <v>129</v>
      </c>
      <c r="G131" s="4" t="s">
        <v>103</v>
      </c>
      <c r="H131" s="4" t="s">
        <v>33</v>
      </c>
      <c r="I131" s="4" t="s">
        <v>34</v>
      </c>
      <c r="J131" s="4" t="s">
        <v>104</v>
      </c>
      <c r="K131" s="3">
        <v>1167</v>
      </c>
      <c r="L131" s="5">
        <v>38</v>
      </c>
      <c r="M131" s="3">
        <v>44346</v>
      </c>
      <c r="N131" s="3">
        <f>AVERAGE(Mobile_Phone_Sales[[#This Row],[Total_Revenue]]/Mobile_Phone_Sales[[#This Row],[Units_Sold]])</f>
        <v>1167</v>
      </c>
      <c r="O131" s="4" t="s">
        <v>26</v>
      </c>
      <c r="P131" s="4" t="s">
        <v>51</v>
      </c>
      <c r="Q131" s="5">
        <v>36</v>
      </c>
      <c r="R131" s="4" t="s">
        <v>28</v>
      </c>
      <c r="S131" s="4" t="s">
        <v>38</v>
      </c>
      <c r="T131" s="4" t="s">
        <v>53</v>
      </c>
      <c r="U131" s="4" t="s">
        <v>100</v>
      </c>
    </row>
    <row r="132" spans="1:21" x14ac:dyDescent="0.25">
      <c r="A132" s="4" t="s">
        <v>228</v>
      </c>
      <c r="B132" s="1">
        <v>45428</v>
      </c>
      <c r="C132" s="4" t="s">
        <v>417</v>
      </c>
      <c r="D132" s="4" t="s">
        <v>410</v>
      </c>
      <c r="E132" s="1">
        <v>45443</v>
      </c>
      <c r="F132" s="4" t="s">
        <v>75</v>
      </c>
      <c r="G132" s="4" t="s">
        <v>50</v>
      </c>
      <c r="H132" s="4" t="s">
        <v>23</v>
      </c>
      <c r="I132" s="4" t="s">
        <v>24</v>
      </c>
      <c r="J132" s="4" t="s">
        <v>25</v>
      </c>
      <c r="K132" s="3">
        <v>362</v>
      </c>
      <c r="L132" s="5">
        <v>75</v>
      </c>
      <c r="M132" s="3">
        <v>27150</v>
      </c>
      <c r="N132" s="3">
        <f>AVERAGE(Mobile_Phone_Sales[[#This Row],[Total_Revenue]]/Mobile_Phone_Sales[[#This Row],[Units_Sold]])</f>
        <v>362</v>
      </c>
      <c r="O132" s="4" t="s">
        <v>26</v>
      </c>
      <c r="P132" s="4" t="s">
        <v>36</v>
      </c>
      <c r="Q132" s="5">
        <v>32</v>
      </c>
      <c r="R132" s="4" t="s">
        <v>52</v>
      </c>
      <c r="S132" s="4" t="s">
        <v>45</v>
      </c>
      <c r="T132" s="4" t="s">
        <v>53</v>
      </c>
      <c r="U132" s="4" t="s">
        <v>54</v>
      </c>
    </row>
    <row r="133" spans="1:21" x14ac:dyDescent="0.25">
      <c r="A133" s="4" t="s">
        <v>229</v>
      </c>
      <c r="B133" s="1">
        <v>45429</v>
      </c>
      <c r="C133" s="4" t="s">
        <v>417</v>
      </c>
      <c r="D133" s="4" t="s">
        <v>411</v>
      </c>
      <c r="E133" s="1">
        <v>45443</v>
      </c>
      <c r="F133" s="4" t="s">
        <v>129</v>
      </c>
      <c r="G133" s="4" t="s">
        <v>103</v>
      </c>
      <c r="H133" s="4" t="s">
        <v>23</v>
      </c>
      <c r="I133" s="4" t="s">
        <v>43</v>
      </c>
      <c r="J133" s="4" t="s">
        <v>104</v>
      </c>
      <c r="K133" s="3">
        <v>1186</v>
      </c>
      <c r="L133" s="5">
        <v>33</v>
      </c>
      <c r="M133" s="3">
        <v>39138</v>
      </c>
      <c r="N133" s="3">
        <f>AVERAGE(Mobile_Phone_Sales[[#This Row],[Total_Revenue]]/Mobile_Phone_Sales[[#This Row],[Units_Sold]])</f>
        <v>1186</v>
      </c>
      <c r="O133" s="4" t="s">
        <v>26</v>
      </c>
      <c r="P133" s="4" t="s">
        <v>36</v>
      </c>
      <c r="Q133" s="5">
        <v>30</v>
      </c>
      <c r="R133" s="4" t="s">
        <v>52</v>
      </c>
      <c r="S133" s="4" t="s">
        <v>45</v>
      </c>
      <c r="T133" s="4" t="s">
        <v>68</v>
      </c>
      <c r="U133" s="4" t="s">
        <v>170</v>
      </c>
    </row>
    <row r="134" spans="1:21" x14ac:dyDescent="0.25">
      <c r="A134" s="4" t="s">
        <v>230</v>
      </c>
      <c r="B134" s="1">
        <v>45430</v>
      </c>
      <c r="C134" s="4" t="s">
        <v>417</v>
      </c>
      <c r="D134" s="4" t="s">
        <v>412</v>
      </c>
      <c r="E134" s="1">
        <v>45443</v>
      </c>
      <c r="F134" s="4" t="s">
        <v>131</v>
      </c>
      <c r="G134" s="4" t="s">
        <v>103</v>
      </c>
      <c r="H134" s="4" t="s">
        <v>33</v>
      </c>
      <c r="I134" s="4" t="s">
        <v>24</v>
      </c>
      <c r="J134" s="4" t="s">
        <v>104</v>
      </c>
      <c r="K134" s="3">
        <v>800</v>
      </c>
      <c r="L134" s="5">
        <v>51</v>
      </c>
      <c r="M134" s="3">
        <v>40800</v>
      </c>
      <c r="N134" s="3">
        <f>AVERAGE(Mobile_Phone_Sales[[#This Row],[Total_Revenue]]/Mobile_Phone_Sales[[#This Row],[Units_Sold]])</f>
        <v>800</v>
      </c>
      <c r="O134" s="4" t="s">
        <v>26</v>
      </c>
      <c r="P134" s="4" t="s">
        <v>27</v>
      </c>
      <c r="Q134" s="5">
        <v>27</v>
      </c>
      <c r="R134" s="4" t="s">
        <v>52</v>
      </c>
      <c r="S134" s="4" t="s">
        <v>45</v>
      </c>
      <c r="T134" s="4" t="s">
        <v>53</v>
      </c>
      <c r="U134" s="4" t="s">
        <v>73</v>
      </c>
    </row>
    <row r="135" spans="1:21" x14ac:dyDescent="0.25">
      <c r="A135" s="4" t="s">
        <v>231</v>
      </c>
      <c r="B135" s="1">
        <v>45431</v>
      </c>
      <c r="C135" s="4" t="s">
        <v>417</v>
      </c>
      <c r="D135" s="4" t="s">
        <v>413</v>
      </c>
      <c r="E135" s="1">
        <v>45443</v>
      </c>
      <c r="F135" s="4" t="s">
        <v>78</v>
      </c>
      <c r="G135" s="4" t="s">
        <v>22</v>
      </c>
      <c r="H135" s="4" t="s">
        <v>71</v>
      </c>
      <c r="I135" s="4" t="s">
        <v>24</v>
      </c>
      <c r="J135" s="4" t="s">
        <v>25</v>
      </c>
      <c r="K135" s="3">
        <v>722</v>
      </c>
      <c r="L135" s="5">
        <v>53</v>
      </c>
      <c r="M135" s="3">
        <v>38266</v>
      </c>
      <c r="N135" s="3">
        <f>AVERAGE(Mobile_Phone_Sales[[#This Row],[Total_Revenue]]/Mobile_Phone_Sales[[#This Row],[Units_Sold]])</f>
        <v>722</v>
      </c>
      <c r="O135" s="4" t="s">
        <v>35</v>
      </c>
      <c r="P135" s="4" t="s">
        <v>27</v>
      </c>
      <c r="Q135" s="5">
        <v>39</v>
      </c>
      <c r="R135" s="4" t="s">
        <v>28</v>
      </c>
      <c r="S135" s="4" t="s">
        <v>45</v>
      </c>
      <c r="T135" s="4" t="s">
        <v>53</v>
      </c>
      <c r="U135" s="4" t="s">
        <v>100</v>
      </c>
    </row>
    <row r="136" spans="1:21" x14ac:dyDescent="0.25">
      <c r="A136" s="4" t="s">
        <v>232</v>
      </c>
      <c r="B136" s="1">
        <v>45433</v>
      </c>
      <c r="C136" s="4" t="s">
        <v>417</v>
      </c>
      <c r="D136" s="4" t="s">
        <v>408</v>
      </c>
      <c r="E136" s="1">
        <v>45443</v>
      </c>
      <c r="F136" s="4" t="s">
        <v>102</v>
      </c>
      <c r="G136" s="4" t="s">
        <v>103</v>
      </c>
      <c r="H136" s="4" t="s">
        <v>71</v>
      </c>
      <c r="I136" s="4" t="s">
        <v>72</v>
      </c>
      <c r="J136" s="4" t="s">
        <v>104</v>
      </c>
      <c r="K136" s="3">
        <v>1082</v>
      </c>
      <c r="L136" s="5">
        <v>54</v>
      </c>
      <c r="M136" s="3">
        <v>58428</v>
      </c>
      <c r="N136" s="3">
        <f>AVERAGE(Mobile_Phone_Sales[[#This Row],[Total_Revenue]]/Mobile_Phone_Sales[[#This Row],[Units_Sold]])</f>
        <v>1082</v>
      </c>
      <c r="O136" s="4" t="s">
        <v>26</v>
      </c>
      <c r="P136" s="4" t="s">
        <v>51</v>
      </c>
      <c r="Q136" s="5">
        <v>20</v>
      </c>
      <c r="R136" s="4" t="s">
        <v>87</v>
      </c>
      <c r="S136" s="4" t="s">
        <v>29</v>
      </c>
      <c r="T136" s="4" t="s">
        <v>68</v>
      </c>
      <c r="U136" s="4" t="s">
        <v>195</v>
      </c>
    </row>
    <row r="137" spans="1:21" x14ac:dyDescent="0.25">
      <c r="A137" s="4" t="s">
        <v>233</v>
      </c>
      <c r="B137" s="1">
        <v>45434</v>
      </c>
      <c r="C137" s="4" t="s">
        <v>417</v>
      </c>
      <c r="D137" s="4" t="s">
        <v>409</v>
      </c>
      <c r="E137" s="1">
        <v>45443</v>
      </c>
      <c r="F137" s="4" t="s">
        <v>41</v>
      </c>
      <c r="G137" s="4" t="s">
        <v>42</v>
      </c>
      <c r="H137" s="4" t="s">
        <v>23</v>
      </c>
      <c r="I137" s="4" t="s">
        <v>24</v>
      </c>
      <c r="J137" s="4" t="s">
        <v>25</v>
      </c>
      <c r="K137" s="3">
        <v>678</v>
      </c>
      <c r="L137" s="5">
        <v>33</v>
      </c>
      <c r="M137" s="3">
        <v>22374</v>
      </c>
      <c r="N137" s="3">
        <f>AVERAGE(Mobile_Phone_Sales[[#This Row],[Total_Revenue]]/Mobile_Phone_Sales[[#This Row],[Units_Sold]])</f>
        <v>678</v>
      </c>
      <c r="O137" s="4" t="s">
        <v>26</v>
      </c>
      <c r="P137" s="4" t="s">
        <v>51</v>
      </c>
      <c r="Q137" s="5">
        <v>43</v>
      </c>
      <c r="R137" s="4" t="s">
        <v>59</v>
      </c>
      <c r="S137" s="4" t="s">
        <v>29</v>
      </c>
      <c r="T137" s="4" t="s">
        <v>68</v>
      </c>
      <c r="U137" s="4" t="s">
        <v>91</v>
      </c>
    </row>
    <row r="138" spans="1:21" x14ac:dyDescent="0.25">
      <c r="A138" s="4" t="s">
        <v>234</v>
      </c>
      <c r="B138" s="1">
        <v>45436</v>
      </c>
      <c r="C138" s="4" t="s">
        <v>417</v>
      </c>
      <c r="D138" s="4" t="s">
        <v>411</v>
      </c>
      <c r="E138" s="1">
        <v>45443</v>
      </c>
      <c r="F138" s="4" t="s">
        <v>131</v>
      </c>
      <c r="G138" s="4" t="s">
        <v>103</v>
      </c>
      <c r="H138" s="4" t="s">
        <v>23</v>
      </c>
      <c r="I138" s="4" t="s">
        <v>24</v>
      </c>
      <c r="J138" s="4" t="s">
        <v>104</v>
      </c>
      <c r="K138" s="3">
        <v>861</v>
      </c>
      <c r="L138" s="5">
        <v>52</v>
      </c>
      <c r="M138" s="3">
        <v>44772</v>
      </c>
      <c r="N138" s="3">
        <f>AVERAGE(Mobile_Phone_Sales[[#This Row],[Total_Revenue]]/Mobile_Phone_Sales[[#This Row],[Units_Sold]])</f>
        <v>861</v>
      </c>
      <c r="O138" s="4" t="s">
        <v>26</v>
      </c>
      <c r="P138" s="4" t="s">
        <v>44</v>
      </c>
      <c r="Q138" s="5">
        <v>24</v>
      </c>
      <c r="R138" s="4" t="s">
        <v>87</v>
      </c>
      <c r="S138" s="4" t="s">
        <v>45</v>
      </c>
      <c r="T138" s="4" t="s">
        <v>68</v>
      </c>
      <c r="U138" s="4" t="s">
        <v>170</v>
      </c>
    </row>
    <row r="139" spans="1:21" x14ac:dyDescent="0.25">
      <c r="A139" s="4" t="s">
        <v>235</v>
      </c>
      <c r="B139" s="1">
        <v>45437</v>
      </c>
      <c r="C139" s="4" t="s">
        <v>417</v>
      </c>
      <c r="D139" s="4" t="s">
        <v>412</v>
      </c>
      <c r="E139" s="1">
        <v>45443</v>
      </c>
      <c r="F139" s="4" t="s">
        <v>49</v>
      </c>
      <c r="G139" s="4" t="s">
        <v>50</v>
      </c>
      <c r="H139" s="4" t="s">
        <v>71</v>
      </c>
      <c r="I139" s="4" t="s">
        <v>58</v>
      </c>
      <c r="J139" s="4" t="s">
        <v>25</v>
      </c>
      <c r="K139" s="3">
        <v>312</v>
      </c>
      <c r="L139" s="5">
        <v>64</v>
      </c>
      <c r="M139" s="3">
        <v>19968</v>
      </c>
      <c r="N139" s="3">
        <f>AVERAGE(Mobile_Phone_Sales[[#This Row],[Total_Revenue]]/Mobile_Phone_Sales[[#This Row],[Units_Sold]])</f>
        <v>312</v>
      </c>
      <c r="O139" s="4" t="s">
        <v>26</v>
      </c>
      <c r="P139" s="4" t="s">
        <v>36</v>
      </c>
      <c r="Q139" s="5">
        <v>18</v>
      </c>
      <c r="R139" s="4" t="s">
        <v>87</v>
      </c>
      <c r="S139" s="4" t="s">
        <v>45</v>
      </c>
      <c r="T139" s="4" t="s">
        <v>68</v>
      </c>
      <c r="U139" s="4" t="s">
        <v>170</v>
      </c>
    </row>
    <row r="140" spans="1:21" x14ac:dyDescent="0.25">
      <c r="A140" s="4" t="s">
        <v>236</v>
      </c>
      <c r="B140" s="1">
        <v>45438</v>
      </c>
      <c r="C140" s="4" t="s">
        <v>417</v>
      </c>
      <c r="D140" s="4" t="s">
        <v>413</v>
      </c>
      <c r="E140" s="1">
        <v>45443</v>
      </c>
      <c r="F140" s="4" t="s">
        <v>82</v>
      </c>
      <c r="G140" s="4" t="s">
        <v>50</v>
      </c>
      <c r="H140" s="4" t="s">
        <v>71</v>
      </c>
      <c r="I140" s="4" t="s">
        <v>34</v>
      </c>
      <c r="J140" s="4" t="s">
        <v>25</v>
      </c>
      <c r="K140" s="3">
        <v>529</v>
      </c>
      <c r="L140" s="5">
        <v>44</v>
      </c>
      <c r="M140" s="3">
        <v>23276</v>
      </c>
      <c r="N140" s="3">
        <f>AVERAGE(Mobile_Phone_Sales[[#This Row],[Total_Revenue]]/Mobile_Phone_Sales[[#This Row],[Units_Sold]])</f>
        <v>529</v>
      </c>
      <c r="O140" s="4" t="s">
        <v>35</v>
      </c>
      <c r="P140" s="4" t="s">
        <v>44</v>
      </c>
      <c r="Q140" s="5">
        <v>45</v>
      </c>
      <c r="R140" s="4" t="s">
        <v>59</v>
      </c>
      <c r="S140" s="4" t="s">
        <v>29</v>
      </c>
      <c r="T140" s="4" t="s">
        <v>53</v>
      </c>
      <c r="U140" s="4" t="s">
        <v>54</v>
      </c>
    </row>
    <row r="141" spans="1:21" x14ac:dyDescent="0.25">
      <c r="A141" s="4" t="s">
        <v>237</v>
      </c>
      <c r="B141" s="1">
        <v>45439</v>
      </c>
      <c r="C141" s="4" t="s">
        <v>417</v>
      </c>
      <c r="D141" s="4" t="s">
        <v>407</v>
      </c>
      <c r="E141" s="1">
        <v>45443</v>
      </c>
      <c r="F141" s="4" t="s">
        <v>64</v>
      </c>
      <c r="G141" s="4" t="s">
        <v>50</v>
      </c>
      <c r="H141" s="4" t="s">
        <v>33</v>
      </c>
      <c r="I141" s="4" t="s">
        <v>43</v>
      </c>
      <c r="J141" s="4" t="s">
        <v>25</v>
      </c>
      <c r="K141" s="3">
        <v>855</v>
      </c>
      <c r="L141" s="5">
        <v>62</v>
      </c>
      <c r="M141" s="3">
        <v>53010</v>
      </c>
      <c r="N141" s="3">
        <f>AVERAGE(Mobile_Phone_Sales[[#This Row],[Total_Revenue]]/Mobile_Phone_Sales[[#This Row],[Units_Sold]])</f>
        <v>855</v>
      </c>
      <c r="O141" s="4" t="s">
        <v>26</v>
      </c>
      <c r="P141" s="4" t="s">
        <v>36</v>
      </c>
      <c r="Q141" s="5">
        <v>51</v>
      </c>
      <c r="R141" s="4" t="s">
        <v>37</v>
      </c>
      <c r="S141" s="4" t="s">
        <v>29</v>
      </c>
      <c r="T141" s="4" t="s">
        <v>46</v>
      </c>
      <c r="U141" s="4" t="s">
        <v>60</v>
      </c>
    </row>
    <row r="142" spans="1:21" x14ac:dyDescent="0.25">
      <c r="A142" s="4" t="s">
        <v>238</v>
      </c>
      <c r="B142" s="1">
        <v>45440</v>
      </c>
      <c r="C142" s="4" t="s">
        <v>417</v>
      </c>
      <c r="D142" s="4" t="s">
        <v>408</v>
      </c>
      <c r="E142" s="1">
        <v>45443</v>
      </c>
      <c r="F142" s="4" t="s">
        <v>80</v>
      </c>
      <c r="G142" s="4" t="s">
        <v>42</v>
      </c>
      <c r="H142" s="4" t="s">
        <v>23</v>
      </c>
      <c r="I142" s="4" t="s">
        <v>58</v>
      </c>
      <c r="J142" s="4" t="s">
        <v>25</v>
      </c>
      <c r="K142" s="3">
        <v>534</v>
      </c>
      <c r="L142" s="5">
        <v>91</v>
      </c>
      <c r="M142" s="3">
        <v>48594</v>
      </c>
      <c r="N142" s="3">
        <f>AVERAGE(Mobile_Phone_Sales[[#This Row],[Total_Revenue]]/Mobile_Phone_Sales[[#This Row],[Units_Sold]])</f>
        <v>534</v>
      </c>
      <c r="O142" s="4" t="s">
        <v>26</v>
      </c>
      <c r="P142" s="4" t="s">
        <v>51</v>
      </c>
      <c r="Q142" s="5">
        <v>20</v>
      </c>
      <c r="R142" s="4" t="s">
        <v>87</v>
      </c>
      <c r="S142" s="4" t="s">
        <v>29</v>
      </c>
      <c r="T142" s="4" t="s">
        <v>68</v>
      </c>
      <c r="U142" s="4" t="s">
        <v>98</v>
      </c>
    </row>
    <row r="143" spans="1:21" x14ac:dyDescent="0.25">
      <c r="A143" s="4" t="s">
        <v>239</v>
      </c>
      <c r="B143" s="1">
        <v>45441</v>
      </c>
      <c r="C143" s="4" t="s">
        <v>417</v>
      </c>
      <c r="D143" s="4" t="s">
        <v>409</v>
      </c>
      <c r="E143" s="1">
        <v>45443</v>
      </c>
      <c r="F143" s="4" t="s">
        <v>120</v>
      </c>
      <c r="G143" s="4" t="s">
        <v>57</v>
      </c>
      <c r="H143" s="4" t="s">
        <v>33</v>
      </c>
      <c r="I143" s="4" t="s">
        <v>43</v>
      </c>
      <c r="J143" s="4" t="s">
        <v>25</v>
      </c>
      <c r="K143" s="3">
        <v>325</v>
      </c>
      <c r="L143" s="5">
        <v>78</v>
      </c>
      <c r="M143" s="3">
        <v>25350</v>
      </c>
      <c r="N143" s="3">
        <f>AVERAGE(Mobile_Phone_Sales[[#This Row],[Total_Revenue]]/Mobile_Phone_Sales[[#This Row],[Units_Sold]])</f>
        <v>325</v>
      </c>
      <c r="O143" s="4" t="s">
        <v>65</v>
      </c>
      <c r="P143" s="4" t="s">
        <v>51</v>
      </c>
      <c r="Q143" s="5">
        <v>61</v>
      </c>
      <c r="R143" s="4" t="s">
        <v>66</v>
      </c>
      <c r="S143" s="4" t="s">
        <v>29</v>
      </c>
      <c r="T143" s="4" t="s">
        <v>53</v>
      </c>
      <c r="U143" s="4" t="s">
        <v>54</v>
      </c>
    </row>
    <row r="144" spans="1:21" x14ac:dyDescent="0.25">
      <c r="A144" s="4" t="s">
        <v>240</v>
      </c>
      <c r="B144" s="1">
        <v>45442</v>
      </c>
      <c r="C144" s="4" t="s">
        <v>417</v>
      </c>
      <c r="D144" s="4" t="s">
        <v>410</v>
      </c>
      <c r="E144" s="1">
        <v>45443</v>
      </c>
      <c r="F144" s="4" t="s">
        <v>21</v>
      </c>
      <c r="G144" s="4" t="s">
        <v>22</v>
      </c>
      <c r="H144" s="4" t="s">
        <v>23</v>
      </c>
      <c r="I144" s="4" t="s">
        <v>34</v>
      </c>
      <c r="J144" s="4" t="s">
        <v>25</v>
      </c>
      <c r="K144" s="3">
        <v>545</v>
      </c>
      <c r="L144" s="5">
        <v>21</v>
      </c>
      <c r="M144" s="3">
        <v>11445</v>
      </c>
      <c r="N144" s="3">
        <f>AVERAGE(Mobile_Phone_Sales[[#This Row],[Total_Revenue]]/Mobile_Phone_Sales[[#This Row],[Units_Sold]])</f>
        <v>545</v>
      </c>
      <c r="O144" s="4" t="s">
        <v>26</v>
      </c>
      <c r="P144" s="4" t="s">
        <v>51</v>
      </c>
      <c r="Q144" s="5">
        <v>57</v>
      </c>
      <c r="R144" s="4" t="s">
        <v>37</v>
      </c>
      <c r="S144" s="4" t="s">
        <v>45</v>
      </c>
      <c r="T144" s="4" t="s">
        <v>68</v>
      </c>
      <c r="U144" s="4" t="s">
        <v>127</v>
      </c>
    </row>
    <row r="145" spans="1:21" x14ac:dyDescent="0.25">
      <c r="A145" s="4" t="s">
        <v>241</v>
      </c>
      <c r="B145" s="1">
        <v>45443</v>
      </c>
      <c r="C145" s="4" t="s">
        <v>417</v>
      </c>
      <c r="D145" s="4" t="s">
        <v>411</v>
      </c>
      <c r="E145" s="1">
        <v>45443</v>
      </c>
      <c r="F145" s="4" t="s">
        <v>82</v>
      </c>
      <c r="G145" s="4" t="s">
        <v>50</v>
      </c>
      <c r="H145" s="4" t="s">
        <v>71</v>
      </c>
      <c r="I145" s="4" t="s">
        <v>34</v>
      </c>
      <c r="J145" s="4" t="s">
        <v>25</v>
      </c>
      <c r="K145" s="3">
        <v>542</v>
      </c>
      <c r="L145" s="5">
        <v>32</v>
      </c>
      <c r="M145" s="3">
        <v>17344</v>
      </c>
      <c r="N145" s="3">
        <f>AVERAGE(Mobile_Phone_Sales[[#This Row],[Total_Revenue]]/Mobile_Phone_Sales[[#This Row],[Units_Sold]])</f>
        <v>542</v>
      </c>
      <c r="O145" s="4" t="s">
        <v>65</v>
      </c>
      <c r="P145" s="4" t="s">
        <v>27</v>
      </c>
      <c r="Q145" s="5">
        <v>24</v>
      </c>
      <c r="R145" s="4" t="s">
        <v>87</v>
      </c>
      <c r="S145" s="4" t="s">
        <v>45</v>
      </c>
      <c r="T145" s="4" t="s">
        <v>68</v>
      </c>
      <c r="U145" s="4" t="s">
        <v>132</v>
      </c>
    </row>
    <row r="146" spans="1:21" x14ac:dyDescent="0.25">
      <c r="A146" s="4" t="s">
        <v>242</v>
      </c>
      <c r="B146" s="1">
        <v>45444</v>
      </c>
      <c r="C146" s="4" t="s">
        <v>418</v>
      </c>
      <c r="D146" s="4" t="s">
        <v>412</v>
      </c>
      <c r="E146" s="1">
        <v>45473</v>
      </c>
      <c r="F146" s="4" t="s">
        <v>85</v>
      </c>
      <c r="G146" s="4" t="s">
        <v>22</v>
      </c>
      <c r="H146" s="4" t="s">
        <v>71</v>
      </c>
      <c r="I146" s="4" t="s">
        <v>34</v>
      </c>
      <c r="J146" s="4" t="s">
        <v>25</v>
      </c>
      <c r="K146" s="3">
        <v>1080</v>
      </c>
      <c r="L146" s="5">
        <v>31</v>
      </c>
      <c r="M146" s="3">
        <v>33480</v>
      </c>
      <c r="N146" s="3">
        <f>AVERAGE(Mobile_Phone_Sales[[#This Row],[Total_Revenue]]/Mobile_Phone_Sales[[#This Row],[Units_Sold]])</f>
        <v>1080</v>
      </c>
      <c r="O146" s="4" t="s">
        <v>26</v>
      </c>
      <c r="P146" s="4" t="s">
        <v>51</v>
      </c>
      <c r="Q146" s="5">
        <v>25</v>
      </c>
      <c r="R146" s="4" t="s">
        <v>87</v>
      </c>
      <c r="S146" s="4" t="s">
        <v>45</v>
      </c>
      <c r="T146" s="4" t="s">
        <v>53</v>
      </c>
      <c r="U146" s="4" t="s">
        <v>62</v>
      </c>
    </row>
    <row r="147" spans="1:21" x14ac:dyDescent="0.25">
      <c r="A147" s="4" t="s">
        <v>243</v>
      </c>
      <c r="B147" s="1">
        <v>45445</v>
      </c>
      <c r="C147" s="4" t="s">
        <v>418</v>
      </c>
      <c r="D147" s="4" t="s">
        <v>413</v>
      </c>
      <c r="E147" s="1">
        <v>45473</v>
      </c>
      <c r="F147" s="4" t="s">
        <v>21</v>
      </c>
      <c r="G147" s="4" t="s">
        <v>22</v>
      </c>
      <c r="H147" s="4" t="s">
        <v>23</v>
      </c>
      <c r="I147" s="4" t="s">
        <v>58</v>
      </c>
      <c r="J147" s="4" t="s">
        <v>25</v>
      </c>
      <c r="K147" s="3">
        <v>509</v>
      </c>
      <c r="L147" s="5">
        <v>35</v>
      </c>
      <c r="M147" s="3">
        <v>17815</v>
      </c>
      <c r="N147" s="3">
        <f>AVERAGE(Mobile_Phone_Sales[[#This Row],[Total_Revenue]]/Mobile_Phone_Sales[[#This Row],[Units_Sold]])</f>
        <v>509</v>
      </c>
      <c r="O147" s="4" t="s">
        <v>26</v>
      </c>
      <c r="P147" s="4" t="s">
        <v>44</v>
      </c>
      <c r="Q147" s="5">
        <v>30</v>
      </c>
      <c r="R147" s="4" t="s">
        <v>52</v>
      </c>
      <c r="S147" s="4" t="s">
        <v>29</v>
      </c>
      <c r="T147" s="4" t="s">
        <v>53</v>
      </c>
      <c r="U147" s="4" t="s">
        <v>54</v>
      </c>
    </row>
    <row r="148" spans="1:21" x14ac:dyDescent="0.25">
      <c r="A148" s="4" t="s">
        <v>244</v>
      </c>
      <c r="B148" s="1">
        <v>45448</v>
      </c>
      <c r="C148" s="4" t="s">
        <v>418</v>
      </c>
      <c r="D148" s="4" t="s">
        <v>409</v>
      </c>
      <c r="E148" s="1">
        <v>45473</v>
      </c>
      <c r="F148" s="4" t="s">
        <v>41</v>
      </c>
      <c r="G148" s="4" t="s">
        <v>42</v>
      </c>
      <c r="H148" s="4" t="s">
        <v>71</v>
      </c>
      <c r="I148" s="4" t="s">
        <v>72</v>
      </c>
      <c r="J148" s="4" t="s">
        <v>25</v>
      </c>
      <c r="K148" s="3">
        <v>683</v>
      </c>
      <c r="L148" s="5">
        <v>27</v>
      </c>
      <c r="M148" s="3">
        <v>18441</v>
      </c>
      <c r="N148" s="3">
        <f>AVERAGE(Mobile_Phone_Sales[[#This Row],[Total_Revenue]]/Mobile_Phone_Sales[[#This Row],[Units_Sold]])</f>
        <v>683</v>
      </c>
      <c r="O148" s="4" t="s">
        <v>26</v>
      </c>
      <c r="P148" s="4" t="s">
        <v>44</v>
      </c>
      <c r="Q148" s="5">
        <v>55</v>
      </c>
      <c r="R148" s="4" t="s">
        <v>37</v>
      </c>
      <c r="S148" s="4" t="s">
        <v>45</v>
      </c>
      <c r="T148" s="4" t="s">
        <v>53</v>
      </c>
      <c r="U148" s="4" t="s">
        <v>62</v>
      </c>
    </row>
    <row r="149" spans="1:21" x14ac:dyDescent="0.25">
      <c r="A149" s="4" t="s">
        <v>245</v>
      </c>
      <c r="B149" s="1">
        <v>45449</v>
      </c>
      <c r="C149" s="4" t="s">
        <v>418</v>
      </c>
      <c r="D149" s="4" t="s">
        <v>410</v>
      </c>
      <c r="E149" s="1">
        <v>45473</v>
      </c>
      <c r="F149" s="4" t="s">
        <v>159</v>
      </c>
      <c r="G149" s="4" t="s">
        <v>103</v>
      </c>
      <c r="H149" s="4" t="s">
        <v>71</v>
      </c>
      <c r="I149" s="4" t="s">
        <v>24</v>
      </c>
      <c r="J149" s="4" t="s">
        <v>104</v>
      </c>
      <c r="K149" s="3">
        <v>451</v>
      </c>
      <c r="L149" s="5">
        <v>86</v>
      </c>
      <c r="M149" s="3">
        <v>38786</v>
      </c>
      <c r="N149" s="3">
        <f>AVERAGE(Mobile_Phone_Sales[[#This Row],[Total_Revenue]]/Mobile_Phone_Sales[[#This Row],[Units_Sold]])</f>
        <v>451</v>
      </c>
      <c r="O149" s="4" t="s">
        <v>65</v>
      </c>
      <c r="P149" s="4" t="s">
        <v>27</v>
      </c>
      <c r="Q149" s="5">
        <v>28</v>
      </c>
      <c r="R149" s="4" t="s">
        <v>52</v>
      </c>
      <c r="S149" s="4" t="s">
        <v>45</v>
      </c>
      <c r="T149" s="4" t="s">
        <v>53</v>
      </c>
      <c r="U149" s="4" t="s">
        <v>94</v>
      </c>
    </row>
    <row r="150" spans="1:21" x14ac:dyDescent="0.25">
      <c r="A150" s="4" t="s">
        <v>246</v>
      </c>
      <c r="B150" s="1">
        <v>45450</v>
      </c>
      <c r="C150" s="4" t="s">
        <v>418</v>
      </c>
      <c r="D150" s="4" t="s">
        <v>411</v>
      </c>
      <c r="E150" s="1">
        <v>45473</v>
      </c>
      <c r="F150" s="4" t="s">
        <v>126</v>
      </c>
      <c r="G150" s="4" t="s">
        <v>103</v>
      </c>
      <c r="H150" s="4" t="s">
        <v>23</v>
      </c>
      <c r="I150" s="4" t="s">
        <v>24</v>
      </c>
      <c r="J150" s="4" t="s">
        <v>104</v>
      </c>
      <c r="K150" s="3">
        <v>876</v>
      </c>
      <c r="L150" s="5">
        <v>54</v>
      </c>
      <c r="M150" s="3">
        <v>47304</v>
      </c>
      <c r="N150" s="3">
        <f>AVERAGE(Mobile_Phone_Sales[[#This Row],[Total_Revenue]]/Mobile_Phone_Sales[[#This Row],[Units_Sold]])</f>
        <v>876</v>
      </c>
      <c r="O150" s="4" t="s">
        <v>65</v>
      </c>
      <c r="P150" s="4" t="s">
        <v>27</v>
      </c>
      <c r="Q150" s="5">
        <v>19</v>
      </c>
      <c r="R150" s="4" t="s">
        <v>87</v>
      </c>
      <c r="S150" s="4" t="s">
        <v>45</v>
      </c>
      <c r="T150" s="4" t="s">
        <v>68</v>
      </c>
      <c r="U150" s="4" t="s">
        <v>98</v>
      </c>
    </row>
    <row r="151" spans="1:21" x14ac:dyDescent="0.25">
      <c r="A151" s="4" t="s">
        <v>247</v>
      </c>
      <c r="B151" s="1">
        <v>45451</v>
      </c>
      <c r="C151" s="4" t="s">
        <v>418</v>
      </c>
      <c r="D151" s="4" t="s">
        <v>412</v>
      </c>
      <c r="E151" s="1">
        <v>45473</v>
      </c>
      <c r="F151" s="4" t="s">
        <v>82</v>
      </c>
      <c r="G151" s="4" t="s">
        <v>50</v>
      </c>
      <c r="H151" s="4" t="s">
        <v>33</v>
      </c>
      <c r="I151" s="4" t="s">
        <v>24</v>
      </c>
      <c r="J151" s="4" t="s">
        <v>25</v>
      </c>
      <c r="K151" s="3">
        <v>512</v>
      </c>
      <c r="L151" s="5">
        <v>64</v>
      </c>
      <c r="M151" s="3">
        <v>32768</v>
      </c>
      <c r="N151" s="3">
        <f>AVERAGE(Mobile_Phone_Sales[[#This Row],[Total_Revenue]]/Mobile_Phone_Sales[[#This Row],[Units_Sold]])</f>
        <v>512</v>
      </c>
      <c r="O151" s="4" t="s">
        <v>65</v>
      </c>
      <c r="P151" s="4" t="s">
        <v>27</v>
      </c>
      <c r="Q151" s="5">
        <v>55</v>
      </c>
      <c r="R151" s="4" t="s">
        <v>37</v>
      </c>
      <c r="S151" s="4" t="s">
        <v>29</v>
      </c>
      <c r="T151" s="4" t="s">
        <v>53</v>
      </c>
      <c r="U151" s="4" t="s">
        <v>62</v>
      </c>
    </row>
    <row r="152" spans="1:21" x14ac:dyDescent="0.25">
      <c r="A152" s="4" t="s">
        <v>248</v>
      </c>
      <c r="B152" s="1">
        <v>45452</v>
      </c>
      <c r="C152" s="4" t="s">
        <v>418</v>
      </c>
      <c r="D152" s="4" t="s">
        <v>413</v>
      </c>
      <c r="E152" s="1">
        <v>45473</v>
      </c>
      <c r="F152" s="4" t="s">
        <v>116</v>
      </c>
      <c r="G152" s="4" t="s">
        <v>57</v>
      </c>
      <c r="H152" s="4" t="s">
        <v>33</v>
      </c>
      <c r="I152" s="4" t="s">
        <v>58</v>
      </c>
      <c r="J152" s="4" t="s">
        <v>25</v>
      </c>
      <c r="K152" s="3">
        <v>1248</v>
      </c>
      <c r="L152" s="5">
        <v>26</v>
      </c>
      <c r="M152" s="3">
        <v>32448</v>
      </c>
      <c r="N152" s="3">
        <f>AVERAGE(Mobile_Phone_Sales[[#This Row],[Total_Revenue]]/Mobile_Phone_Sales[[#This Row],[Units_Sold]])</f>
        <v>1248</v>
      </c>
      <c r="O152" s="4" t="s">
        <v>26</v>
      </c>
      <c r="P152" s="4" t="s">
        <v>27</v>
      </c>
      <c r="Q152" s="5">
        <v>56</v>
      </c>
      <c r="R152" s="4" t="s">
        <v>37</v>
      </c>
      <c r="S152" s="4" t="s">
        <v>38</v>
      </c>
      <c r="T152" s="4" t="s">
        <v>68</v>
      </c>
      <c r="U152" s="4" t="s">
        <v>121</v>
      </c>
    </row>
    <row r="153" spans="1:21" x14ac:dyDescent="0.25">
      <c r="A153" s="4" t="s">
        <v>249</v>
      </c>
      <c r="B153" s="1">
        <v>45453</v>
      </c>
      <c r="C153" s="4" t="s">
        <v>418</v>
      </c>
      <c r="D153" s="4" t="s">
        <v>407</v>
      </c>
      <c r="E153" s="1">
        <v>45473</v>
      </c>
      <c r="F153" s="4" t="s">
        <v>120</v>
      </c>
      <c r="G153" s="4" t="s">
        <v>57</v>
      </c>
      <c r="H153" s="4" t="s">
        <v>71</v>
      </c>
      <c r="I153" s="4" t="s">
        <v>43</v>
      </c>
      <c r="J153" s="4" t="s">
        <v>25</v>
      </c>
      <c r="K153" s="3">
        <v>308</v>
      </c>
      <c r="L153" s="5">
        <v>56</v>
      </c>
      <c r="M153" s="3">
        <v>17248</v>
      </c>
      <c r="N153" s="3">
        <f>AVERAGE(Mobile_Phone_Sales[[#This Row],[Total_Revenue]]/Mobile_Phone_Sales[[#This Row],[Units_Sold]])</f>
        <v>308</v>
      </c>
      <c r="O153" s="4" t="s">
        <v>65</v>
      </c>
      <c r="P153" s="4" t="s">
        <v>27</v>
      </c>
      <c r="Q153" s="5">
        <v>51</v>
      </c>
      <c r="R153" s="4" t="s">
        <v>37</v>
      </c>
      <c r="S153" s="4" t="s">
        <v>45</v>
      </c>
      <c r="T153" s="4" t="s">
        <v>53</v>
      </c>
      <c r="U153" s="4" t="s">
        <v>94</v>
      </c>
    </row>
    <row r="154" spans="1:21" x14ac:dyDescent="0.25">
      <c r="A154" s="4" t="s">
        <v>250</v>
      </c>
      <c r="B154" s="1">
        <v>45454</v>
      </c>
      <c r="C154" s="4" t="s">
        <v>418</v>
      </c>
      <c r="D154" s="4" t="s">
        <v>408</v>
      </c>
      <c r="E154" s="1">
        <v>45473</v>
      </c>
      <c r="F154" s="4" t="s">
        <v>131</v>
      </c>
      <c r="G154" s="4" t="s">
        <v>103</v>
      </c>
      <c r="H154" s="4" t="s">
        <v>33</v>
      </c>
      <c r="I154" s="4" t="s">
        <v>72</v>
      </c>
      <c r="J154" s="4" t="s">
        <v>104</v>
      </c>
      <c r="K154" s="3">
        <v>813</v>
      </c>
      <c r="L154" s="5">
        <v>51</v>
      </c>
      <c r="M154" s="3">
        <v>41463</v>
      </c>
      <c r="N154" s="3">
        <f>AVERAGE(Mobile_Phone_Sales[[#This Row],[Total_Revenue]]/Mobile_Phone_Sales[[#This Row],[Units_Sold]])</f>
        <v>813</v>
      </c>
      <c r="O154" s="4" t="s">
        <v>65</v>
      </c>
      <c r="P154" s="4" t="s">
        <v>51</v>
      </c>
      <c r="Q154" s="5">
        <v>56</v>
      </c>
      <c r="R154" s="4" t="s">
        <v>37</v>
      </c>
      <c r="S154" s="4" t="s">
        <v>45</v>
      </c>
      <c r="T154" s="4" t="s">
        <v>46</v>
      </c>
      <c r="U154" s="4" t="s">
        <v>111</v>
      </c>
    </row>
    <row r="155" spans="1:21" x14ac:dyDescent="0.25">
      <c r="A155" s="4" t="s">
        <v>251</v>
      </c>
      <c r="B155" s="1">
        <v>45455</v>
      </c>
      <c r="C155" s="4" t="s">
        <v>418</v>
      </c>
      <c r="D155" s="4" t="s">
        <v>409</v>
      </c>
      <c r="E155" s="1">
        <v>45473</v>
      </c>
      <c r="F155" s="4" t="s">
        <v>56</v>
      </c>
      <c r="G155" s="4" t="s">
        <v>57</v>
      </c>
      <c r="H155" s="4" t="s">
        <v>23</v>
      </c>
      <c r="I155" s="4" t="s">
        <v>43</v>
      </c>
      <c r="J155" s="4" t="s">
        <v>25</v>
      </c>
      <c r="K155" s="3">
        <v>1850</v>
      </c>
      <c r="L155" s="5">
        <v>99</v>
      </c>
      <c r="M155" s="3">
        <v>183150</v>
      </c>
      <c r="N155" s="3">
        <f>AVERAGE(Mobile_Phone_Sales[[#This Row],[Total_Revenue]]/Mobile_Phone_Sales[[#This Row],[Units_Sold]])</f>
        <v>1850</v>
      </c>
      <c r="O155" s="4" t="s">
        <v>26</v>
      </c>
      <c r="P155" s="4" t="s">
        <v>44</v>
      </c>
      <c r="Q155" s="5">
        <v>46</v>
      </c>
      <c r="R155" s="4" t="s">
        <v>59</v>
      </c>
      <c r="S155" s="4" t="s">
        <v>45</v>
      </c>
      <c r="T155" s="4" t="s">
        <v>68</v>
      </c>
      <c r="U155" s="4" t="s">
        <v>132</v>
      </c>
    </row>
    <row r="156" spans="1:21" x14ac:dyDescent="0.25">
      <c r="A156" s="4" t="s">
        <v>252</v>
      </c>
      <c r="B156" s="1">
        <v>45456</v>
      </c>
      <c r="C156" s="4" t="s">
        <v>418</v>
      </c>
      <c r="D156" s="4" t="s">
        <v>410</v>
      </c>
      <c r="E156" s="1">
        <v>45473</v>
      </c>
      <c r="F156" s="4" t="s">
        <v>96</v>
      </c>
      <c r="G156" s="4" t="s">
        <v>42</v>
      </c>
      <c r="H156" s="4" t="s">
        <v>33</v>
      </c>
      <c r="I156" s="4" t="s">
        <v>43</v>
      </c>
      <c r="J156" s="4" t="s">
        <v>25</v>
      </c>
      <c r="K156" s="3">
        <v>891</v>
      </c>
      <c r="L156" s="5">
        <v>83</v>
      </c>
      <c r="M156" s="3">
        <v>73953</v>
      </c>
      <c r="N156" s="3">
        <f>AVERAGE(Mobile_Phone_Sales[[#This Row],[Total_Revenue]]/Mobile_Phone_Sales[[#This Row],[Units_Sold]])</f>
        <v>891</v>
      </c>
      <c r="O156" s="4" t="s">
        <v>26</v>
      </c>
      <c r="P156" s="4" t="s">
        <v>36</v>
      </c>
      <c r="Q156" s="5">
        <v>29</v>
      </c>
      <c r="R156" s="4" t="s">
        <v>52</v>
      </c>
      <c r="S156" s="4" t="s">
        <v>29</v>
      </c>
      <c r="T156" s="4" t="s">
        <v>53</v>
      </c>
      <c r="U156" s="4" t="s">
        <v>100</v>
      </c>
    </row>
    <row r="157" spans="1:21" x14ac:dyDescent="0.25">
      <c r="A157" s="4" t="s">
        <v>253</v>
      </c>
      <c r="B157" s="1">
        <v>45457</v>
      </c>
      <c r="C157" s="4" t="s">
        <v>418</v>
      </c>
      <c r="D157" s="4" t="s">
        <v>411</v>
      </c>
      <c r="E157" s="1">
        <v>45473</v>
      </c>
      <c r="F157" s="4" t="s">
        <v>146</v>
      </c>
      <c r="G157" s="4" t="s">
        <v>57</v>
      </c>
      <c r="H157" s="4" t="s">
        <v>23</v>
      </c>
      <c r="I157" s="4" t="s">
        <v>58</v>
      </c>
      <c r="J157" s="4" t="s">
        <v>25</v>
      </c>
      <c r="K157" s="3">
        <v>452</v>
      </c>
      <c r="L157" s="5">
        <v>7</v>
      </c>
      <c r="M157" s="3">
        <v>3164</v>
      </c>
      <c r="N157" s="3">
        <f>AVERAGE(Mobile_Phone_Sales[[#This Row],[Total_Revenue]]/Mobile_Phone_Sales[[#This Row],[Units_Sold]])</f>
        <v>452</v>
      </c>
      <c r="O157" s="4" t="s">
        <v>65</v>
      </c>
      <c r="P157" s="4" t="s">
        <v>36</v>
      </c>
      <c r="Q157" s="5">
        <v>22</v>
      </c>
      <c r="R157" s="4" t="s">
        <v>87</v>
      </c>
      <c r="S157" s="4" t="s">
        <v>45</v>
      </c>
      <c r="T157" s="4" t="s">
        <v>68</v>
      </c>
      <c r="U157" s="4" t="s">
        <v>170</v>
      </c>
    </row>
    <row r="158" spans="1:21" x14ac:dyDescent="0.25">
      <c r="A158" s="4" t="s">
        <v>254</v>
      </c>
      <c r="B158" s="1">
        <v>45458</v>
      </c>
      <c r="C158" s="4" t="s">
        <v>418</v>
      </c>
      <c r="D158" s="4" t="s">
        <v>412</v>
      </c>
      <c r="E158" s="1">
        <v>45473</v>
      </c>
      <c r="F158" s="4" t="s">
        <v>49</v>
      </c>
      <c r="G158" s="4" t="s">
        <v>50</v>
      </c>
      <c r="H158" s="4" t="s">
        <v>23</v>
      </c>
      <c r="I158" s="4" t="s">
        <v>58</v>
      </c>
      <c r="J158" s="4" t="s">
        <v>25</v>
      </c>
      <c r="K158" s="3">
        <v>316</v>
      </c>
      <c r="L158" s="5">
        <v>18</v>
      </c>
      <c r="M158" s="3">
        <v>5688</v>
      </c>
      <c r="N158" s="3">
        <f>AVERAGE(Mobile_Phone_Sales[[#This Row],[Total_Revenue]]/Mobile_Phone_Sales[[#This Row],[Units_Sold]])</f>
        <v>316</v>
      </c>
      <c r="O158" s="4" t="s">
        <v>35</v>
      </c>
      <c r="P158" s="4" t="s">
        <v>44</v>
      </c>
      <c r="Q158" s="5">
        <v>32</v>
      </c>
      <c r="R158" s="4" t="s">
        <v>52</v>
      </c>
      <c r="S158" s="4" t="s">
        <v>29</v>
      </c>
      <c r="T158" s="4" t="s">
        <v>46</v>
      </c>
      <c r="U158" s="4" t="s">
        <v>47</v>
      </c>
    </row>
    <row r="159" spans="1:21" x14ac:dyDescent="0.25">
      <c r="A159" s="4" t="s">
        <v>255</v>
      </c>
      <c r="B159" s="1">
        <v>45459</v>
      </c>
      <c r="C159" s="4" t="s">
        <v>418</v>
      </c>
      <c r="D159" s="4" t="s">
        <v>413</v>
      </c>
      <c r="E159" s="1">
        <v>45473</v>
      </c>
      <c r="F159" s="4" t="s">
        <v>21</v>
      </c>
      <c r="G159" s="4" t="s">
        <v>22</v>
      </c>
      <c r="H159" s="4" t="s">
        <v>71</v>
      </c>
      <c r="I159" s="4" t="s">
        <v>24</v>
      </c>
      <c r="J159" s="4" t="s">
        <v>25</v>
      </c>
      <c r="K159" s="3">
        <v>501</v>
      </c>
      <c r="L159" s="5">
        <v>24</v>
      </c>
      <c r="M159" s="3">
        <v>12024</v>
      </c>
      <c r="N159" s="3">
        <f>AVERAGE(Mobile_Phone_Sales[[#This Row],[Total_Revenue]]/Mobile_Phone_Sales[[#This Row],[Units_Sold]])</f>
        <v>501</v>
      </c>
      <c r="O159" s="4" t="s">
        <v>26</v>
      </c>
      <c r="P159" s="4" t="s">
        <v>44</v>
      </c>
      <c r="Q159" s="5">
        <v>57</v>
      </c>
      <c r="R159" s="4" t="s">
        <v>37</v>
      </c>
      <c r="S159" s="4" t="s">
        <v>45</v>
      </c>
      <c r="T159" s="4" t="s">
        <v>46</v>
      </c>
      <c r="U159" s="4" t="s">
        <v>47</v>
      </c>
    </row>
    <row r="160" spans="1:21" x14ac:dyDescent="0.25">
      <c r="A160" s="4" t="s">
        <v>256</v>
      </c>
      <c r="B160" s="1">
        <v>45460</v>
      </c>
      <c r="C160" s="4" t="s">
        <v>418</v>
      </c>
      <c r="D160" s="4" t="s">
        <v>407</v>
      </c>
      <c r="E160" s="1">
        <v>45473</v>
      </c>
      <c r="F160" s="4" t="s">
        <v>80</v>
      </c>
      <c r="G160" s="4" t="s">
        <v>42</v>
      </c>
      <c r="H160" s="4" t="s">
        <v>33</v>
      </c>
      <c r="I160" s="4" t="s">
        <v>34</v>
      </c>
      <c r="J160" s="4" t="s">
        <v>25</v>
      </c>
      <c r="K160" s="3">
        <v>516</v>
      </c>
      <c r="L160" s="5">
        <v>66</v>
      </c>
      <c r="M160" s="3">
        <v>34056</v>
      </c>
      <c r="N160" s="3">
        <f>AVERAGE(Mobile_Phone_Sales[[#This Row],[Total_Revenue]]/Mobile_Phone_Sales[[#This Row],[Units_Sold]])</f>
        <v>516</v>
      </c>
      <c r="O160" s="4" t="s">
        <v>26</v>
      </c>
      <c r="P160" s="4" t="s">
        <v>36</v>
      </c>
      <c r="Q160" s="5">
        <v>46</v>
      </c>
      <c r="R160" s="4" t="s">
        <v>59</v>
      </c>
      <c r="S160" s="4" t="s">
        <v>29</v>
      </c>
      <c r="T160" s="4" t="s">
        <v>53</v>
      </c>
      <c r="U160" s="4" t="s">
        <v>100</v>
      </c>
    </row>
    <row r="161" spans="1:21" x14ac:dyDescent="0.25">
      <c r="A161" s="4" t="s">
        <v>257</v>
      </c>
      <c r="B161" s="1">
        <v>45461</v>
      </c>
      <c r="C161" s="4" t="s">
        <v>418</v>
      </c>
      <c r="D161" s="4" t="s">
        <v>408</v>
      </c>
      <c r="E161" s="1">
        <v>45473</v>
      </c>
      <c r="F161" s="4" t="s">
        <v>159</v>
      </c>
      <c r="G161" s="4" t="s">
        <v>103</v>
      </c>
      <c r="H161" s="4" t="s">
        <v>23</v>
      </c>
      <c r="I161" s="4" t="s">
        <v>72</v>
      </c>
      <c r="J161" s="4" t="s">
        <v>104</v>
      </c>
      <c r="K161" s="3">
        <v>442</v>
      </c>
      <c r="L161" s="5">
        <v>24</v>
      </c>
      <c r="M161" s="3">
        <v>10608</v>
      </c>
      <c r="N161" s="3">
        <f>AVERAGE(Mobile_Phone_Sales[[#This Row],[Total_Revenue]]/Mobile_Phone_Sales[[#This Row],[Units_Sold]])</f>
        <v>442</v>
      </c>
      <c r="O161" s="4" t="s">
        <v>26</v>
      </c>
      <c r="P161" s="4" t="s">
        <v>44</v>
      </c>
      <c r="Q161" s="5">
        <v>25</v>
      </c>
      <c r="R161" s="4" t="s">
        <v>87</v>
      </c>
      <c r="S161" s="4" t="s">
        <v>45</v>
      </c>
      <c r="T161" s="4" t="s">
        <v>68</v>
      </c>
      <c r="U161" s="4" t="s">
        <v>69</v>
      </c>
    </row>
    <row r="162" spans="1:21" x14ac:dyDescent="0.25">
      <c r="A162" s="4" t="s">
        <v>258</v>
      </c>
      <c r="B162" s="1">
        <v>45462</v>
      </c>
      <c r="C162" s="4" t="s">
        <v>418</v>
      </c>
      <c r="D162" s="4" t="s">
        <v>409</v>
      </c>
      <c r="E162" s="1">
        <v>45473</v>
      </c>
      <c r="F162" s="4" t="s">
        <v>78</v>
      </c>
      <c r="G162" s="4" t="s">
        <v>22</v>
      </c>
      <c r="H162" s="4" t="s">
        <v>23</v>
      </c>
      <c r="I162" s="4" t="s">
        <v>43</v>
      </c>
      <c r="J162" s="4" t="s">
        <v>25</v>
      </c>
      <c r="K162" s="3">
        <v>784</v>
      </c>
      <c r="L162" s="5">
        <v>12</v>
      </c>
      <c r="M162" s="3">
        <v>9408</v>
      </c>
      <c r="N162" s="3">
        <f>AVERAGE(Mobile_Phone_Sales[[#This Row],[Total_Revenue]]/Mobile_Phone_Sales[[#This Row],[Units_Sold]])</f>
        <v>784</v>
      </c>
      <c r="O162" s="4" t="s">
        <v>26</v>
      </c>
      <c r="P162" s="4" t="s">
        <v>36</v>
      </c>
      <c r="Q162" s="5">
        <v>27</v>
      </c>
      <c r="R162" s="4" t="s">
        <v>52</v>
      </c>
      <c r="S162" s="4" t="s">
        <v>45</v>
      </c>
      <c r="T162" s="4" t="s">
        <v>46</v>
      </c>
      <c r="U162" s="4" t="s">
        <v>76</v>
      </c>
    </row>
    <row r="163" spans="1:21" x14ac:dyDescent="0.25">
      <c r="A163" s="4" t="s">
        <v>259</v>
      </c>
      <c r="B163" s="1">
        <v>45464</v>
      </c>
      <c r="C163" s="4" t="s">
        <v>418</v>
      </c>
      <c r="D163" s="4" t="s">
        <v>411</v>
      </c>
      <c r="E163" s="1">
        <v>45473</v>
      </c>
      <c r="F163" s="4" t="s">
        <v>41</v>
      </c>
      <c r="G163" s="4" t="s">
        <v>42</v>
      </c>
      <c r="H163" s="4" t="s">
        <v>33</v>
      </c>
      <c r="I163" s="4" t="s">
        <v>34</v>
      </c>
      <c r="J163" s="4" t="s">
        <v>25</v>
      </c>
      <c r="K163" s="3">
        <v>695</v>
      </c>
      <c r="L163" s="5">
        <v>51</v>
      </c>
      <c r="M163" s="3">
        <v>35445</v>
      </c>
      <c r="N163" s="3">
        <f>AVERAGE(Mobile_Phone_Sales[[#This Row],[Total_Revenue]]/Mobile_Phone_Sales[[#This Row],[Units_Sold]])</f>
        <v>695</v>
      </c>
      <c r="O163" s="4" t="s">
        <v>35</v>
      </c>
      <c r="P163" s="4" t="s">
        <v>27</v>
      </c>
      <c r="Q163" s="5">
        <v>62</v>
      </c>
      <c r="R163" s="4" t="s">
        <v>66</v>
      </c>
      <c r="S163" s="4" t="s">
        <v>45</v>
      </c>
      <c r="T163" s="4" t="s">
        <v>53</v>
      </c>
      <c r="U163" s="4" t="s">
        <v>62</v>
      </c>
    </row>
    <row r="164" spans="1:21" x14ac:dyDescent="0.25">
      <c r="A164" s="4" t="s">
        <v>260</v>
      </c>
      <c r="B164" s="1">
        <v>45465</v>
      </c>
      <c r="C164" s="4" t="s">
        <v>418</v>
      </c>
      <c r="D164" s="4" t="s">
        <v>412</v>
      </c>
      <c r="E164" s="1">
        <v>45473</v>
      </c>
      <c r="F164" s="4" t="s">
        <v>146</v>
      </c>
      <c r="G164" s="4" t="s">
        <v>57</v>
      </c>
      <c r="H164" s="4" t="s">
        <v>71</v>
      </c>
      <c r="I164" s="4" t="s">
        <v>58</v>
      </c>
      <c r="J164" s="4" t="s">
        <v>25</v>
      </c>
      <c r="K164" s="3">
        <v>474</v>
      </c>
      <c r="L164" s="5">
        <v>92</v>
      </c>
      <c r="M164" s="3">
        <v>43608</v>
      </c>
      <c r="N164" s="3">
        <f>AVERAGE(Mobile_Phone_Sales[[#This Row],[Total_Revenue]]/Mobile_Phone_Sales[[#This Row],[Units_Sold]])</f>
        <v>474</v>
      </c>
      <c r="O164" s="4" t="s">
        <v>26</v>
      </c>
      <c r="P164" s="4" t="s">
        <v>44</v>
      </c>
      <c r="Q164" s="5">
        <v>52</v>
      </c>
      <c r="R164" s="4" t="s">
        <v>37</v>
      </c>
      <c r="S164" s="4" t="s">
        <v>29</v>
      </c>
      <c r="T164" s="4" t="s">
        <v>53</v>
      </c>
      <c r="U164" s="4" t="s">
        <v>54</v>
      </c>
    </row>
    <row r="165" spans="1:21" x14ac:dyDescent="0.25">
      <c r="A165" s="4" t="s">
        <v>261</v>
      </c>
      <c r="B165" s="1">
        <v>45466</v>
      </c>
      <c r="C165" s="4" t="s">
        <v>418</v>
      </c>
      <c r="D165" s="4" t="s">
        <v>413</v>
      </c>
      <c r="E165" s="1">
        <v>45473</v>
      </c>
      <c r="F165" s="4" t="s">
        <v>116</v>
      </c>
      <c r="G165" s="4" t="s">
        <v>57</v>
      </c>
      <c r="H165" s="4" t="s">
        <v>71</v>
      </c>
      <c r="I165" s="4" t="s">
        <v>43</v>
      </c>
      <c r="J165" s="4" t="s">
        <v>25</v>
      </c>
      <c r="K165" s="3">
        <v>1255</v>
      </c>
      <c r="L165" s="5">
        <v>26</v>
      </c>
      <c r="M165" s="3">
        <v>32630</v>
      </c>
      <c r="N165" s="3">
        <f>AVERAGE(Mobile_Phone_Sales[[#This Row],[Total_Revenue]]/Mobile_Phone_Sales[[#This Row],[Units_Sold]])</f>
        <v>1255</v>
      </c>
      <c r="O165" s="4" t="s">
        <v>26</v>
      </c>
      <c r="P165" s="4" t="s">
        <v>51</v>
      </c>
      <c r="Q165" s="5">
        <v>39</v>
      </c>
      <c r="R165" s="4" t="s">
        <v>28</v>
      </c>
      <c r="S165" s="4" t="s">
        <v>45</v>
      </c>
      <c r="T165" s="4" t="s">
        <v>53</v>
      </c>
      <c r="U165" s="4" t="s">
        <v>94</v>
      </c>
    </row>
    <row r="166" spans="1:21" x14ac:dyDescent="0.25">
      <c r="A166" s="4" t="s">
        <v>262</v>
      </c>
      <c r="B166" s="1">
        <v>45467</v>
      </c>
      <c r="C166" s="4" t="s">
        <v>418</v>
      </c>
      <c r="D166" s="4" t="s">
        <v>407</v>
      </c>
      <c r="E166" s="1">
        <v>45473</v>
      </c>
      <c r="F166" s="4" t="s">
        <v>75</v>
      </c>
      <c r="G166" s="4" t="s">
        <v>50</v>
      </c>
      <c r="H166" s="4" t="s">
        <v>33</v>
      </c>
      <c r="I166" s="4" t="s">
        <v>58</v>
      </c>
      <c r="J166" s="4" t="s">
        <v>25</v>
      </c>
      <c r="K166" s="3">
        <v>386</v>
      </c>
      <c r="L166" s="5">
        <v>57</v>
      </c>
      <c r="M166" s="3">
        <v>22002</v>
      </c>
      <c r="N166" s="3">
        <f>AVERAGE(Mobile_Phone_Sales[[#This Row],[Total_Revenue]]/Mobile_Phone_Sales[[#This Row],[Units_Sold]])</f>
        <v>386</v>
      </c>
      <c r="O166" s="4" t="s">
        <v>65</v>
      </c>
      <c r="P166" s="4" t="s">
        <v>44</v>
      </c>
      <c r="Q166" s="5">
        <v>38</v>
      </c>
      <c r="R166" s="4" t="s">
        <v>28</v>
      </c>
      <c r="S166" s="4" t="s">
        <v>38</v>
      </c>
      <c r="T166" s="4" t="s">
        <v>53</v>
      </c>
      <c r="U166" s="4" t="s">
        <v>94</v>
      </c>
    </row>
    <row r="167" spans="1:21" x14ac:dyDescent="0.25">
      <c r="A167" s="4" t="s">
        <v>263</v>
      </c>
      <c r="B167" s="1">
        <v>45468</v>
      </c>
      <c r="C167" s="4" t="s">
        <v>418</v>
      </c>
      <c r="D167" s="4" t="s">
        <v>408</v>
      </c>
      <c r="E167" s="1">
        <v>45473</v>
      </c>
      <c r="F167" s="4" t="s">
        <v>80</v>
      </c>
      <c r="G167" s="4" t="s">
        <v>42</v>
      </c>
      <c r="H167" s="4" t="s">
        <v>23</v>
      </c>
      <c r="I167" s="4" t="s">
        <v>34</v>
      </c>
      <c r="J167" s="4" t="s">
        <v>25</v>
      </c>
      <c r="K167" s="3">
        <v>504</v>
      </c>
      <c r="L167" s="5">
        <v>32</v>
      </c>
      <c r="M167" s="3">
        <v>16128</v>
      </c>
      <c r="N167" s="3">
        <f>AVERAGE(Mobile_Phone_Sales[[#This Row],[Total_Revenue]]/Mobile_Phone_Sales[[#This Row],[Units_Sold]])</f>
        <v>504</v>
      </c>
      <c r="O167" s="4" t="s">
        <v>26</v>
      </c>
      <c r="P167" s="4" t="s">
        <v>44</v>
      </c>
      <c r="Q167" s="5">
        <v>31</v>
      </c>
      <c r="R167" s="4" t="s">
        <v>52</v>
      </c>
      <c r="S167" s="4" t="s">
        <v>29</v>
      </c>
      <c r="T167" s="4" t="s">
        <v>68</v>
      </c>
      <c r="U167" s="4" t="s">
        <v>88</v>
      </c>
    </row>
    <row r="168" spans="1:21" x14ac:dyDescent="0.25">
      <c r="A168" s="4" t="s">
        <v>264</v>
      </c>
      <c r="B168" s="1">
        <v>45469</v>
      </c>
      <c r="C168" s="4" t="s">
        <v>418</v>
      </c>
      <c r="D168" s="4" t="s">
        <v>409</v>
      </c>
      <c r="E168" s="1">
        <v>45473</v>
      </c>
      <c r="F168" s="4" t="s">
        <v>116</v>
      </c>
      <c r="G168" s="4" t="s">
        <v>57</v>
      </c>
      <c r="H168" s="4" t="s">
        <v>71</v>
      </c>
      <c r="I168" s="4" t="s">
        <v>43</v>
      </c>
      <c r="J168" s="4" t="s">
        <v>25</v>
      </c>
      <c r="K168" s="3">
        <v>1265</v>
      </c>
      <c r="L168" s="5">
        <v>75</v>
      </c>
      <c r="M168" s="3">
        <v>94875</v>
      </c>
      <c r="N168" s="3">
        <f>AVERAGE(Mobile_Phone_Sales[[#This Row],[Total_Revenue]]/Mobile_Phone_Sales[[#This Row],[Units_Sold]])</f>
        <v>1265</v>
      </c>
      <c r="O168" s="4" t="s">
        <v>26</v>
      </c>
      <c r="P168" s="4" t="s">
        <v>51</v>
      </c>
      <c r="Q168" s="5">
        <v>53</v>
      </c>
      <c r="R168" s="4" t="s">
        <v>37</v>
      </c>
      <c r="S168" s="4" t="s">
        <v>29</v>
      </c>
      <c r="T168" s="4" t="s">
        <v>68</v>
      </c>
      <c r="U168" s="4" t="s">
        <v>98</v>
      </c>
    </row>
    <row r="169" spans="1:21" x14ac:dyDescent="0.25">
      <c r="A169" s="4" t="s">
        <v>265</v>
      </c>
      <c r="B169" s="1">
        <v>45470</v>
      </c>
      <c r="C169" s="4" t="s">
        <v>418</v>
      </c>
      <c r="D169" s="4" t="s">
        <v>410</v>
      </c>
      <c r="E169" s="1">
        <v>45473</v>
      </c>
      <c r="F169" s="4" t="s">
        <v>159</v>
      </c>
      <c r="G169" s="4" t="s">
        <v>103</v>
      </c>
      <c r="H169" s="4" t="s">
        <v>33</v>
      </c>
      <c r="I169" s="4" t="s">
        <v>24</v>
      </c>
      <c r="J169" s="4" t="s">
        <v>104</v>
      </c>
      <c r="K169" s="3">
        <v>478</v>
      </c>
      <c r="L169" s="5">
        <v>50</v>
      </c>
      <c r="M169" s="3">
        <v>23900</v>
      </c>
      <c r="N169" s="3">
        <f>AVERAGE(Mobile_Phone_Sales[[#This Row],[Total_Revenue]]/Mobile_Phone_Sales[[#This Row],[Units_Sold]])</f>
        <v>478</v>
      </c>
      <c r="O169" s="4" t="s">
        <v>26</v>
      </c>
      <c r="P169" s="4" t="s">
        <v>44</v>
      </c>
      <c r="Q169" s="5">
        <v>49</v>
      </c>
      <c r="R169" s="4" t="s">
        <v>59</v>
      </c>
      <c r="S169" s="4" t="s">
        <v>29</v>
      </c>
      <c r="T169" s="4" t="s">
        <v>30</v>
      </c>
      <c r="U169" s="4" t="s">
        <v>266</v>
      </c>
    </row>
    <row r="170" spans="1:21" x14ac:dyDescent="0.25">
      <c r="A170" s="4" t="s">
        <v>267</v>
      </c>
      <c r="B170" s="1">
        <v>45471</v>
      </c>
      <c r="C170" s="4" t="s">
        <v>418</v>
      </c>
      <c r="D170" s="4" t="s">
        <v>411</v>
      </c>
      <c r="E170" s="1">
        <v>45473</v>
      </c>
      <c r="F170" s="4" t="s">
        <v>96</v>
      </c>
      <c r="G170" s="4" t="s">
        <v>42</v>
      </c>
      <c r="H170" s="4" t="s">
        <v>71</v>
      </c>
      <c r="I170" s="4" t="s">
        <v>34</v>
      </c>
      <c r="J170" s="4" t="s">
        <v>25</v>
      </c>
      <c r="K170" s="3">
        <v>835</v>
      </c>
      <c r="L170" s="5">
        <v>71</v>
      </c>
      <c r="M170" s="3">
        <v>59285</v>
      </c>
      <c r="N170" s="3">
        <f>AVERAGE(Mobile_Phone_Sales[[#This Row],[Total_Revenue]]/Mobile_Phone_Sales[[#This Row],[Units_Sold]])</f>
        <v>835</v>
      </c>
      <c r="O170" s="4" t="s">
        <v>26</v>
      </c>
      <c r="P170" s="4" t="s">
        <v>44</v>
      </c>
      <c r="Q170" s="5">
        <v>61</v>
      </c>
      <c r="R170" s="4" t="s">
        <v>66</v>
      </c>
      <c r="S170" s="4" t="s">
        <v>29</v>
      </c>
      <c r="T170" s="4" t="s">
        <v>68</v>
      </c>
      <c r="U170" s="4" t="s">
        <v>88</v>
      </c>
    </row>
    <row r="171" spans="1:21" x14ac:dyDescent="0.25">
      <c r="A171" s="4" t="s">
        <v>268</v>
      </c>
      <c r="B171" s="1">
        <v>45472</v>
      </c>
      <c r="C171" s="4" t="s">
        <v>418</v>
      </c>
      <c r="D171" s="4" t="s">
        <v>412</v>
      </c>
      <c r="E171" s="1">
        <v>45473</v>
      </c>
      <c r="F171" s="4" t="s">
        <v>80</v>
      </c>
      <c r="G171" s="4" t="s">
        <v>42</v>
      </c>
      <c r="H171" s="4" t="s">
        <v>71</v>
      </c>
      <c r="I171" s="4" t="s">
        <v>34</v>
      </c>
      <c r="J171" s="4" t="s">
        <v>25</v>
      </c>
      <c r="K171" s="3">
        <v>562</v>
      </c>
      <c r="L171" s="5">
        <v>57</v>
      </c>
      <c r="M171" s="3">
        <v>32034</v>
      </c>
      <c r="N171" s="3">
        <f>AVERAGE(Mobile_Phone_Sales[[#This Row],[Total_Revenue]]/Mobile_Phone_Sales[[#This Row],[Units_Sold]])</f>
        <v>562</v>
      </c>
      <c r="O171" s="4" t="s">
        <v>26</v>
      </c>
      <c r="P171" s="4" t="s">
        <v>51</v>
      </c>
      <c r="Q171" s="5">
        <v>41</v>
      </c>
      <c r="R171" s="4" t="s">
        <v>28</v>
      </c>
      <c r="S171" s="4" t="s">
        <v>29</v>
      </c>
      <c r="T171" s="4" t="s">
        <v>46</v>
      </c>
      <c r="U171" s="4" t="s">
        <v>118</v>
      </c>
    </row>
    <row r="172" spans="1:21" x14ac:dyDescent="0.25">
      <c r="A172" s="4" t="s">
        <v>269</v>
      </c>
      <c r="B172" s="1">
        <v>45474</v>
      </c>
      <c r="C172" s="4" t="s">
        <v>419</v>
      </c>
      <c r="D172" s="4" t="s">
        <v>407</v>
      </c>
      <c r="E172" s="1">
        <v>45504</v>
      </c>
      <c r="F172" s="4" t="s">
        <v>64</v>
      </c>
      <c r="G172" s="4" t="s">
        <v>50</v>
      </c>
      <c r="H172" s="4" t="s">
        <v>71</v>
      </c>
      <c r="I172" s="4" t="s">
        <v>43</v>
      </c>
      <c r="J172" s="4" t="s">
        <v>25</v>
      </c>
      <c r="K172" s="3">
        <v>818</v>
      </c>
      <c r="L172" s="5">
        <v>43</v>
      </c>
      <c r="M172" s="3">
        <v>35174</v>
      </c>
      <c r="N172" s="3">
        <f>AVERAGE(Mobile_Phone_Sales[[#This Row],[Total_Revenue]]/Mobile_Phone_Sales[[#This Row],[Units_Sold]])</f>
        <v>818</v>
      </c>
      <c r="O172" s="4" t="s">
        <v>26</v>
      </c>
      <c r="P172" s="4" t="s">
        <v>51</v>
      </c>
      <c r="Q172" s="5">
        <v>33</v>
      </c>
      <c r="R172" s="4" t="s">
        <v>52</v>
      </c>
      <c r="S172" s="4" t="s">
        <v>29</v>
      </c>
      <c r="T172" s="4" t="s">
        <v>53</v>
      </c>
      <c r="U172" s="4" t="s">
        <v>54</v>
      </c>
    </row>
    <row r="173" spans="1:21" x14ac:dyDescent="0.25">
      <c r="A173" s="4" t="s">
        <v>270</v>
      </c>
      <c r="B173" s="1">
        <v>45475</v>
      </c>
      <c r="C173" s="4" t="s">
        <v>419</v>
      </c>
      <c r="D173" s="4" t="s">
        <v>408</v>
      </c>
      <c r="E173" s="1">
        <v>45504</v>
      </c>
      <c r="F173" s="4" t="s">
        <v>159</v>
      </c>
      <c r="G173" s="4" t="s">
        <v>103</v>
      </c>
      <c r="H173" s="4" t="s">
        <v>33</v>
      </c>
      <c r="I173" s="4" t="s">
        <v>43</v>
      </c>
      <c r="J173" s="4" t="s">
        <v>104</v>
      </c>
      <c r="K173" s="3">
        <v>433</v>
      </c>
      <c r="L173" s="5">
        <v>90</v>
      </c>
      <c r="M173" s="3">
        <v>38970</v>
      </c>
      <c r="N173" s="3">
        <f>AVERAGE(Mobile_Phone_Sales[[#This Row],[Total_Revenue]]/Mobile_Phone_Sales[[#This Row],[Units_Sold]])</f>
        <v>433</v>
      </c>
      <c r="O173" s="4" t="s">
        <v>26</v>
      </c>
      <c r="P173" s="4" t="s">
        <v>27</v>
      </c>
      <c r="Q173" s="5">
        <v>24</v>
      </c>
      <c r="R173" s="4" t="s">
        <v>87</v>
      </c>
      <c r="S173" s="4" t="s">
        <v>38</v>
      </c>
      <c r="T173" s="4" t="s">
        <v>68</v>
      </c>
      <c r="U173" s="4" t="s">
        <v>195</v>
      </c>
    </row>
    <row r="174" spans="1:21" x14ac:dyDescent="0.25">
      <c r="A174" s="4" t="s">
        <v>271</v>
      </c>
      <c r="B174" s="1">
        <v>45476</v>
      </c>
      <c r="C174" s="4" t="s">
        <v>419</v>
      </c>
      <c r="D174" s="4" t="s">
        <v>409</v>
      </c>
      <c r="E174" s="1">
        <v>45504</v>
      </c>
      <c r="F174" s="4" t="s">
        <v>64</v>
      </c>
      <c r="G174" s="4" t="s">
        <v>50</v>
      </c>
      <c r="H174" s="4" t="s">
        <v>33</v>
      </c>
      <c r="I174" s="4" t="s">
        <v>72</v>
      </c>
      <c r="J174" s="4" t="s">
        <v>25</v>
      </c>
      <c r="K174" s="3">
        <v>870</v>
      </c>
      <c r="L174" s="5">
        <v>72</v>
      </c>
      <c r="M174" s="3">
        <v>62640</v>
      </c>
      <c r="N174" s="3">
        <f>AVERAGE(Mobile_Phone_Sales[[#This Row],[Total_Revenue]]/Mobile_Phone_Sales[[#This Row],[Units_Sold]])</f>
        <v>870</v>
      </c>
      <c r="O174" s="4" t="s">
        <v>26</v>
      </c>
      <c r="P174" s="4" t="s">
        <v>51</v>
      </c>
      <c r="Q174" s="5">
        <v>26</v>
      </c>
      <c r="R174" s="4" t="s">
        <v>52</v>
      </c>
      <c r="S174" s="4" t="s">
        <v>45</v>
      </c>
      <c r="T174" s="4" t="s">
        <v>53</v>
      </c>
      <c r="U174" s="4" t="s">
        <v>62</v>
      </c>
    </row>
    <row r="175" spans="1:21" x14ac:dyDescent="0.25">
      <c r="A175" s="4" t="s">
        <v>272</v>
      </c>
      <c r="B175" s="1">
        <v>45477</v>
      </c>
      <c r="C175" s="4" t="s">
        <v>419</v>
      </c>
      <c r="D175" s="4" t="s">
        <v>410</v>
      </c>
      <c r="E175" s="1">
        <v>45504</v>
      </c>
      <c r="F175" s="4" t="s">
        <v>85</v>
      </c>
      <c r="G175" s="4" t="s">
        <v>22</v>
      </c>
      <c r="H175" s="4" t="s">
        <v>23</v>
      </c>
      <c r="I175" s="4" t="s">
        <v>43</v>
      </c>
      <c r="J175" s="4" t="s">
        <v>25</v>
      </c>
      <c r="K175" s="3">
        <v>1098</v>
      </c>
      <c r="L175" s="5">
        <v>80</v>
      </c>
      <c r="M175" s="3">
        <v>87840</v>
      </c>
      <c r="N175" s="3">
        <f>AVERAGE(Mobile_Phone_Sales[[#This Row],[Total_Revenue]]/Mobile_Phone_Sales[[#This Row],[Units_Sold]])</f>
        <v>1098</v>
      </c>
      <c r="O175" s="4" t="s">
        <v>65</v>
      </c>
      <c r="P175" s="4" t="s">
        <v>44</v>
      </c>
      <c r="Q175" s="5">
        <v>61</v>
      </c>
      <c r="R175" s="4" t="s">
        <v>66</v>
      </c>
      <c r="S175" s="4" t="s">
        <v>45</v>
      </c>
      <c r="T175" s="4" t="s">
        <v>68</v>
      </c>
      <c r="U175" s="4" t="s">
        <v>195</v>
      </c>
    </row>
    <row r="176" spans="1:21" x14ac:dyDescent="0.25">
      <c r="A176" s="4" t="s">
        <v>273</v>
      </c>
      <c r="B176" s="1">
        <v>45478</v>
      </c>
      <c r="C176" s="4" t="s">
        <v>419</v>
      </c>
      <c r="D176" s="4" t="s">
        <v>411</v>
      </c>
      <c r="E176" s="1">
        <v>45504</v>
      </c>
      <c r="F176" s="4" t="s">
        <v>78</v>
      </c>
      <c r="G176" s="4" t="s">
        <v>22</v>
      </c>
      <c r="H176" s="4" t="s">
        <v>23</v>
      </c>
      <c r="I176" s="4" t="s">
        <v>72</v>
      </c>
      <c r="J176" s="4" t="s">
        <v>25</v>
      </c>
      <c r="K176" s="3">
        <v>779</v>
      </c>
      <c r="L176" s="5">
        <v>47</v>
      </c>
      <c r="M176" s="3">
        <v>36613</v>
      </c>
      <c r="N176" s="3">
        <f>AVERAGE(Mobile_Phone_Sales[[#This Row],[Total_Revenue]]/Mobile_Phone_Sales[[#This Row],[Units_Sold]])</f>
        <v>779</v>
      </c>
      <c r="O176" s="4" t="s">
        <v>26</v>
      </c>
      <c r="P176" s="4" t="s">
        <v>44</v>
      </c>
      <c r="Q176" s="5">
        <v>58</v>
      </c>
      <c r="R176" s="4" t="s">
        <v>66</v>
      </c>
      <c r="S176" s="4" t="s">
        <v>29</v>
      </c>
      <c r="T176" s="4" t="s">
        <v>68</v>
      </c>
      <c r="U176" s="4" t="s">
        <v>195</v>
      </c>
    </row>
    <row r="177" spans="1:21" x14ac:dyDescent="0.25">
      <c r="A177" s="4" t="s">
        <v>274</v>
      </c>
      <c r="B177" s="1">
        <v>45479</v>
      </c>
      <c r="C177" s="4" t="s">
        <v>419</v>
      </c>
      <c r="D177" s="4" t="s">
        <v>412</v>
      </c>
      <c r="E177" s="1">
        <v>45504</v>
      </c>
      <c r="F177" s="4" t="s">
        <v>41</v>
      </c>
      <c r="G177" s="4" t="s">
        <v>42</v>
      </c>
      <c r="H177" s="4" t="s">
        <v>71</v>
      </c>
      <c r="I177" s="4" t="s">
        <v>72</v>
      </c>
      <c r="J177" s="4" t="s">
        <v>25</v>
      </c>
      <c r="K177" s="3">
        <v>649</v>
      </c>
      <c r="L177" s="5">
        <v>58</v>
      </c>
      <c r="M177" s="3">
        <v>37642</v>
      </c>
      <c r="N177" s="3">
        <f>AVERAGE(Mobile_Phone_Sales[[#This Row],[Total_Revenue]]/Mobile_Phone_Sales[[#This Row],[Units_Sold]])</f>
        <v>649</v>
      </c>
      <c r="O177" s="4" t="s">
        <v>26</v>
      </c>
      <c r="P177" s="4" t="s">
        <v>44</v>
      </c>
      <c r="Q177" s="5">
        <v>64</v>
      </c>
      <c r="R177" s="4" t="s">
        <v>66</v>
      </c>
      <c r="S177" s="4" t="s">
        <v>38</v>
      </c>
      <c r="T177" s="4" t="s">
        <v>68</v>
      </c>
      <c r="U177" s="4" t="s">
        <v>88</v>
      </c>
    </row>
    <row r="178" spans="1:21" x14ac:dyDescent="0.25">
      <c r="A178" s="4" t="s">
        <v>275</v>
      </c>
      <c r="B178" s="1">
        <v>45480</v>
      </c>
      <c r="C178" s="4" t="s">
        <v>419</v>
      </c>
      <c r="D178" s="4" t="s">
        <v>413</v>
      </c>
      <c r="E178" s="1">
        <v>45504</v>
      </c>
      <c r="F178" s="4" t="s">
        <v>56</v>
      </c>
      <c r="G178" s="4" t="s">
        <v>57</v>
      </c>
      <c r="H178" s="4" t="s">
        <v>23</v>
      </c>
      <c r="I178" s="4" t="s">
        <v>58</v>
      </c>
      <c r="J178" s="4" t="s">
        <v>25</v>
      </c>
      <c r="K178" s="3">
        <v>1845</v>
      </c>
      <c r="L178" s="5">
        <v>25</v>
      </c>
      <c r="M178" s="3">
        <v>46125</v>
      </c>
      <c r="N178" s="3">
        <f>AVERAGE(Mobile_Phone_Sales[[#This Row],[Total_Revenue]]/Mobile_Phone_Sales[[#This Row],[Units_Sold]])</f>
        <v>1845</v>
      </c>
      <c r="O178" s="4" t="s">
        <v>35</v>
      </c>
      <c r="P178" s="4" t="s">
        <v>51</v>
      </c>
      <c r="Q178" s="5">
        <v>55</v>
      </c>
      <c r="R178" s="4" t="s">
        <v>37</v>
      </c>
      <c r="S178" s="4" t="s">
        <v>29</v>
      </c>
      <c r="T178" s="4" t="s">
        <v>68</v>
      </c>
      <c r="U178" s="4" t="s">
        <v>132</v>
      </c>
    </row>
    <row r="179" spans="1:21" x14ac:dyDescent="0.25">
      <c r="A179" s="4" t="s">
        <v>276</v>
      </c>
      <c r="B179" s="1">
        <v>45482</v>
      </c>
      <c r="C179" s="4" t="s">
        <v>419</v>
      </c>
      <c r="D179" s="4" t="s">
        <v>408</v>
      </c>
      <c r="E179" s="1">
        <v>45504</v>
      </c>
      <c r="F179" s="4" t="s">
        <v>85</v>
      </c>
      <c r="G179" s="4" t="s">
        <v>22</v>
      </c>
      <c r="H179" s="4" t="s">
        <v>23</v>
      </c>
      <c r="I179" s="4" t="s">
        <v>58</v>
      </c>
      <c r="J179" s="4" t="s">
        <v>25</v>
      </c>
      <c r="K179" s="3">
        <v>1013</v>
      </c>
      <c r="L179" s="5">
        <v>14</v>
      </c>
      <c r="M179" s="3">
        <v>14182</v>
      </c>
      <c r="N179" s="3">
        <f>AVERAGE(Mobile_Phone_Sales[[#This Row],[Total_Revenue]]/Mobile_Phone_Sales[[#This Row],[Units_Sold]])</f>
        <v>1013</v>
      </c>
      <c r="O179" s="4" t="s">
        <v>26</v>
      </c>
      <c r="P179" s="4" t="s">
        <v>44</v>
      </c>
      <c r="Q179" s="5">
        <v>23</v>
      </c>
      <c r="R179" s="4" t="s">
        <v>87</v>
      </c>
      <c r="S179" s="4" t="s">
        <v>29</v>
      </c>
      <c r="T179" s="4" t="s">
        <v>68</v>
      </c>
      <c r="U179" s="4" t="s">
        <v>170</v>
      </c>
    </row>
    <row r="180" spans="1:21" x14ac:dyDescent="0.25">
      <c r="A180" s="4" t="s">
        <v>277</v>
      </c>
      <c r="B180" s="1">
        <v>45483</v>
      </c>
      <c r="C180" s="4" t="s">
        <v>419</v>
      </c>
      <c r="D180" s="4" t="s">
        <v>409</v>
      </c>
      <c r="E180" s="1">
        <v>45504</v>
      </c>
      <c r="F180" s="4" t="s">
        <v>78</v>
      </c>
      <c r="G180" s="4" t="s">
        <v>22</v>
      </c>
      <c r="H180" s="4" t="s">
        <v>33</v>
      </c>
      <c r="I180" s="4" t="s">
        <v>43</v>
      </c>
      <c r="J180" s="4" t="s">
        <v>25</v>
      </c>
      <c r="K180" s="3">
        <v>771</v>
      </c>
      <c r="L180" s="5">
        <v>85</v>
      </c>
      <c r="M180" s="3">
        <v>65535</v>
      </c>
      <c r="N180" s="3">
        <f>AVERAGE(Mobile_Phone_Sales[[#This Row],[Total_Revenue]]/Mobile_Phone_Sales[[#This Row],[Units_Sold]])</f>
        <v>771</v>
      </c>
      <c r="O180" s="4" t="s">
        <v>26</v>
      </c>
      <c r="P180" s="4" t="s">
        <v>36</v>
      </c>
      <c r="Q180" s="5">
        <v>62</v>
      </c>
      <c r="R180" s="4" t="s">
        <v>66</v>
      </c>
      <c r="S180" s="4" t="s">
        <v>45</v>
      </c>
      <c r="T180" s="4" t="s">
        <v>68</v>
      </c>
      <c r="U180" s="4" t="s">
        <v>127</v>
      </c>
    </row>
    <row r="181" spans="1:21" x14ac:dyDescent="0.25">
      <c r="A181" s="4" t="s">
        <v>278</v>
      </c>
      <c r="B181" s="1">
        <v>45485</v>
      </c>
      <c r="C181" s="4" t="s">
        <v>419</v>
      </c>
      <c r="D181" s="4" t="s">
        <v>411</v>
      </c>
      <c r="E181" s="1">
        <v>45504</v>
      </c>
      <c r="F181" s="4" t="s">
        <v>102</v>
      </c>
      <c r="G181" s="4" t="s">
        <v>103</v>
      </c>
      <c r="H181" s="4" t="s">
        <v>33</v>
      </c>
      <c r="I181" s="4" t="s">
        <v>34</v>
      </c>
      <c r="J181" s="4" t="s">
        <v>104</v>
      </c>
      <c r="K181" s="3">
        <v>1076</v>
      </c>
      <c r="L181" s="5">
        <v>21</v>
      </c>
      <c r="M181" s="3">
        <v>22596</v>
      </c>
      <c r="N181" s="3">
        <f>AVERAGE(Mobile_Phone_Sales[[#This Row],[Total_Revenue]]/Mobile_Phone_Sales[[#This Row],[Units_Sold]])</f>
        <v>1076</v>
      </c>
      <c r="O181" s="4" t="s">
        <v>26</v>
      </c>
      <c r="P181" s="4" t="s">
        <v>51</v>
      </c>
      <c r="Q181" s="5">
        <v>42</v>
      </c>
      <c r="R181" s="4" t="s">
        <v>59</v>
      </c>
      <c r="S181" s="4" t="s">
        <v>45</v>
      </c>
      <c r="T181" s="4" t="s">
        <v>68</v>
      </c>
      <c r="U181" s="4" t="s">
        <v>83</v>
      </c>
    </row>
    <row r="182" spans="1:21" x14ac:dyDescent="0.25">
      <c r="A182" s="4" t="s">
        <v>279</v>
      </c>
      <c r="B182" s="1">
        <v>45487</v>
      </c>
      <c r="C182" s="4" t="s">
        <v>419</v>
      </c>
      <c r="D182" s="4" t="s">
        <v>413</v>
      </c>
      <c r="E182" s="1">
        <v>45504</v>
      </c>
      <c r="F182" s="4" t="s">
        <v>102</v>
      </c>
      <c r="G182" s="4" t="s">
        <v>103</v>
      </c>
      <c r="H182" s="4" t="s">
        <v>33</v>
      </c>
      <c r="I182" s="4" t="s">
        <v>72</v>
      </c>
      <c r="J182" s="4" t="s">
        <v>104</v>
      </c>
      <c r="K182" s="3">
        <v>1022</v>
      </c>
      <c r="L182" s="5">
        <v>79</v>
      </c>
      <c r="M182" s="3">
        <v>80738</v>
      </c>
      <c r="N182" s="3">
        <f>AVERAGE(Mobile_Phone_Sales[[#This Row],[Total_Revenue]]/Mobile_Phone_Sales[[#This Row],[Units_Sold]])</f>
        <v>1022</v>
      </c>
      <c r="O182" s="4" t="s">
        <v>26</v>
      </c>
      <c r="P182" s="4" t="s">
        <v>27</v>
      </c>
      <c r="Q182" s="5">
        <v>55</v>
      </c>
      <c r="R182" s="4" t="s">
        <v>37</v>
      </c>
      <c r="S182" s="4" t="s">
        <v>29</v>
      </c>
      <c r="T182" s="4" t="s">
        <v>68</v>
      </c>
      <c r="U182" s="4" t="s">
        <v>127</v>
      </c>
    </row>
    <row r="183" spans="1:21" x14ac:dyDescent="0.25">
      <c r="A183" s="4" t="s">
        <v>280</v>
      </c>
      <c r="B183" s="1">
        <v>45488</v>
      </c>
      <c r="C183" s="4" t="s">
        <v>419</v>
      </c>
      <c r="D183" s="4" t="s">
        <v>407</v>
      </c>
      <c r="E183" s="1">
        <v>45504</v>
      </c>
      <c r="F183" s="4" t="s">
        <v>85</v>
      </c>
      <c r="G183" s="4" t="s">
        <v>22</v>
      </c>
      <c r="H183" s="4" t="s">
        <v>23</v>
      </c>
      <c r="I183" s="4" t="s">
        <v>34</v>
      </c>
      <c r="J183" s="4" t="s">
        <v>25</v>
      </c>
      <c r="K183" s="3">
        <v>1034</v>
      </c>
      <c r="L183" s="5">
        <v>15</v>
      </c>
      <c r="M183" s="3">
        <v>15510</v>
      </c>
      <c r="N183" s="3">
        <f>AVERAGE(Mobile_Phone_Sales[[#This Row],[Total_Revenue]]/Mobile_Phone_Sales[[#This Row],[Units_Sold]])</f>
        <v>1034</v>
      </c>
      <c r="O183" s="4" t="s">
        <v>35</v>
      </c>
      <c r="P183" s="4" t="s">
        <v>36</v>
      </c>
      <c r="Q183" s="5">
        <v>23</v>
      </c>
      <c r="R183" s="4" t="s">
        <v>87</v>
      </c>
      <c r="S183" s="4" t="s">
        <v>29</v>
      </c>
      <c r="T183" s="4" t="s">
        <v>68</v>
      </c>
      <c r="U183" s="4" t="s">
        <v>195</v>
      </c>
    </row>
    <row r="184" spans="1:21" x14ac:dyDescent="0.25">
      <c r="A184" s="4" t="s">
        <v>281</v>
      </c>
      <c r="B184" s="1">
        <v>45490</v>
      </c>
      <c r="C184" s="4" t="s">
        <v>419</v>
      </c>
      <c r="D184" s="4" t="s">
        <v>409</v>
      </c>
      <c r="E184" s="1">
        <v>45504</v>
      </c>
      <c r="F184" s="4" t="s">
        <v>56</v>
      </c>
      <c r="G184" s="4" t="s">
        <v>57</v>
      </c>
      <c r="H184" s="4" t="s">
        <v>71</v>
      </c>
      <c r="I184" s="4" t="s">
        <v>58</v>
      </c>
      <c r="J184" s="4" t="s">
        <v>25</v>
      </c>
      <c r="K184" s="3">
        <v>1855</v>
      </c>
      <c r="L184" s="5">
        <v>17</v>
      </c>
      <c r="M184" s="3">
        <v>31535</v>
      </c>
      <c r="N184" s="3">
        <f>AVERAGE(Mobile_Phone_Sales[[#This Row],[Total_Revenue]]/Mobile_Phone_Sales[[#This Row],[Units_Sold]])</f>
        <v>1855</v>
      </c>
      <c r="O184" s="4" t="s">
        <v>65</v>
      </c>
      <c r="P184" s="4" t="s">
        <v>36</v>
      </c>
      <c r="Q184" s="5">
        <v>46</v>
      </c>
      <c r="R184" s="4" t="s">
        <v>59</v>
      </c>
      <c r="S184" s="4" t="s">
        <v>29</v>
      </c>
      <c r="T184" s="4" t="s">
        <v>68</v>
      </c>
      <c r="U184" s="4" t="s">
        <v>83</v>
      </c>
    </row>
    <row r="185" spans="1:21" x14ac:dyDescent="0.25">
      <c r="A185" s="4" t="s">
        <v>282</v>
      </c>
      <c r="B185" s="1">
        <v>45491</v>
      </c>
      <c r="C185" s="4" t="s">
        <v>419</v>
      </c>
      <c r="D185" s="4" t="s">
        <v>410</v>
      </c>
      <c r="E185" s="1">
        <v>45504</v>
      </c>
      <c r="F185" s="4" t="s">
        <v>49</v>
      </c>
      <c r="G185" s="4" t="s">
        <v>50</v>
      </c>
      <c r="H185" s="4" t="s">
        <v>71</v>
      </c>
      <c r="I185" s="4" t="s">
        <v>43</v>
      </c>
      <c r="J185" s="4" t="s">
        <v>25</v>
      </c>
      <c r="K185" s="3">
        <v>319</v>
      </c>
      <c r="L185" s="5">
        <v>34</v>
      </c>
      <c r="M185" s="3">
        <v>10846</v>
      </c>
      <c r="N185" s="3">
        <f>AVERAGE(Mobile_Phone_Sales[[#This Row],[Total_Revenue]]/Mobile_Phone_Sales[[#This Row],[Units_Sold]])</f>
        <v>319</v>
      </c>
      <c r="O185" s="4" t="s">
        <v>35</v>
      </c>
      <c r="P185" s="4" t="s">
        <v>44</v>
      </c>
      <c r="Q185" s="5">
        <v>34</v>
      </c>
      <c r="R185" s="4" t="s">
        <v>28</v>
      </c>
      <c r="S185" s="4" t="s">
        <v>38</v>
      </c>
      <c r="T185" s="4" t="s">
        <v>68</v>
      </c>
      <c r="U185" s="4" t="s">
        <v>91</v>
      </c>
    </row>
    <row r="186" spans="1:21" x14ac:dyDescent="0.25">
      <c r="A186" s="4" t="s">
        <v>283</v>
      </c>
      <c r="B186" s="1">
        <v>45495</v>
      </c>
      <c r="C186" s="4" t="s">
        <v>419</v>
      </c>
      <c r="D186" s="4" t="s">
        <v>407</v>
      </c>
      <c r="E186" s="1">
        <v>45504</v>
      </c>
      <c r="F186" s="4" t="s">
        <v>85</v>
      </c>
      <c r="G186" s="4" t="s">
        <v>22</v>
      </c>
      <c r="H186" s="4" t="s">
        <v>71</v>
      </c>
      <c r="I186" s="4" t="s">
        <v>72</v>
      </c>
      <c r="J186" s="4" t="s">
        <v>25</v>
      </c>
      <c r="K186" s="3">
        <v>1099</v>
      </c>
      <c r="L186" s="5">
        <v>66</v>
      </c>
      <c r="M186" s="3">
        <v>72534</v>
      </c>
      <c r="N186" s="3">
        <f>AVERAGE(Mobile_Phone_Sales[[#This Row],[Total_Revenue]]/Mobile_Phone_Sales[[#This Row],[Units_Sold]])</f>
        <v>1099</v>
      </c>
      <c r="O186" s="4" t="s">
        <v>26</v>
      </c>
      <c r="P186" s="4" t="s">
        <v>51</v>
      </c>
      <c r="Q186" s="5">
        <v>27</v>
      </c>
      <c r="R186" s="4" t="s">
        <v>52</v>
      </c>
      <c r="S186" s="4" t="s">
        <v>29</v>
      </c>
      <c r="T186" s="4" t="s">
        <v>68</v>
      </c>
      <c r="U186" s="4" t="s">
        <v>132</v>
      </c>
    </row>
    <row r="187" spans="1:21" x14ac:dyDescent="0.25">
      <c r="A187" s="4" t="s">
        <v>284</v>
      </c>
      <c r="B187" s="1">
        <v>45496</v>
      </c>
      <c r="C187" s="4" t="s">
        <v>419</v>
      </c>
      <c r="D187" s="4" t="s">
        <v>408</v>
      </c>
      <c r="E187" s="1">
        <v>45504</v>
      </c>
      <c r="F187" s="4" t="s">
        <v>56</v>
      </c>
      <c r="G187" s="4" t="s">
        <v>57</v>
      </c>
      <c r="H187" s="4" t="s">
        <v>23</v>
      </c>
      <c r="I187" s="4" t="s">
        <v>58</v>
      </c>
      <c r="J187" s="4" t="s">
        <v>25</v>
      </c>
      <c r="K187" s="3">
        <v>1863</v>
      </c>
      <c r="L187" s="5">
        <v>34</v>
      </c>
      <c r="M187" s="3">
        <v>63342</v>
      </c>
      <c r="N187" s="3">
        <f>AVERAGE(Mobile_Phone_Sales[[#This Row],[Total_Revenue]]/Mobile_Phone_Sales[[#This Row],[Units_Sold]])</f>
        <v>1863</v>
      </c>
      <c r="O187" s="4" t="s">
        <v>35</v>
      </c>
      <c r="P187" s="4" t="s">
        <v>36</v>
      </c>
      <c r="Q187" s="5">
        <v>48</v>
      </c>
      <c r="R187" s="4" t="s">
        <v>59</v>
      </c>
      <c r="S187" s="4" t="s">
        <v>29</v>
      </c>
      <c r="T187" s="4" t="s">
        <v>68</v>
      </c>
      <c r="U187" s="4" t="s">
        <v>83</v>
      </c>
    </row>
    <row r="188" spans="1:21" x14ac:dyDescent="0.25">
      <c r="A188" s="4" t="s">
        <v>285</v>
      </c>
      <c r="B188" s="1">
        <v>45498</v>
      </c>
      <c r="C188" s="4" t="s">
        <v>419</v>
      </c>
      <c r="D188" s="4" t="s">
        <v>410</v>
      </c>
      <c r="E188" s="1">
        <v>45504</v>
      </c>
      <c r="F188" s="4" t="s">
        <v>96</v>
      </c>
      <c r="G188" s="4" t="s">
        <v>42</v>
      </c>
      <c r="H188" s="4" t="s">
        <v>71</v>
      </c>
      <c r="I188" s="4" t="s">
        <v>58</v>
      </c>
      <c r="J188" s="4" t="s">
        <v>25</v>
      </c>
      <c r="K188" s="3">
        <v>823</v>
      </c>
      <c r="L188" s="5">
        <v>92</v>
      </c>
      <c r="M188" s="3">
        <v>75716</v>
      </c>
      <c r="N188" s="3">
        <f>AVERAGE(Mobile_Phone_Sales[[#This Row],[Total_Revenue]]/Mobile_Phone_Sales[[#This Row],[Units_Sold]])</f>
        <v>823</v>
      </c>
      <c r="O188" s="4" t="s">
        <v>65</v>
      </c>
      <c r="P188" s="4" t="s">
        <v>44</v>
      </c>
      <c r="Q188" s="5">
        <v>18</v>
      </c>
      <c r="R188" s="4" t="s">
        <v>87</v>
      </c>
      <c r="S188" s="4" t="s">
        <v>29</v>
      </c>
      <c r="T188" s="4" t="s">
        <v>53</v>
      </c>
      <c r="U188" s="4" t="s">
        <v>73</v>
      </c>
    </row>
    <row r="189" spans="1:21" x14ac:dyDescent="0.25">
      <c r="A189" s="4" t="s">
        <v>286</v>
      </c>
      <c r="B189" s="1">
        <v>45499</v>
      </c>
      <c r="C189" s="4" t="s">
        <v>419</v>
      </c>
      <c r="D189" s="4" t="s">
        <v>411</v>
      </c>
      <c r="E189" s="1">
        <v>45504</v>
      </c>
      <c r="F189" s="4" t="s">
        <v>126</v>
      </c>
      <c r="G189" s="4" t="s">
        <v>103</v>
      </c>
      <c r="H189" s="4" t="s">
        <v>71</v>
      </c>
      <c r="I189" s="4" t="s">
        <v>34</v>
      </c>
      <c r="J189" s="4" t="s">
        <v>104</v>
      </c>
      <c r="K189" s="3">
        <v>886</v>
      </c>
      <c r="L189" s="5">
        <v>73</v>
      </c>
      <c r="M189" s="3">
        <v>64678</v>
      </c>
      <c r="N189" s="3">
        <f>AVERAGE(Mobile_Phone_Sales[[#This Row],[Total_Revenue]]/Mobile_Phone_Sales[[#This Row],[Units_Sold]])</f>
        <v>886</v>
      </c>
      <c r="O189" s="4" t="s">
        <v>26</v>
      </c>
      <c r="P189" s="4" t="s">
        <v>36</v>
      </c>
      <c r="Q189" s="5">
        <v>43</v>
      </c>
      <c r="R189" s="4" t="s">
        <v>59</v>
      </c>
      <c r="S189" s="4" t="s">
        <v>45</v>
      </c>
      <c r="T189" s="4" t="s">
        <v>68</v>
      </c>
      <c r="U189" s="4" t="s">
        <v>127</v>
      </c>
    </row>
    <row r="190" spans="1:21" x14ac:dyDescent="0.25">
      <c r="A190" s="4" t="s">
        <v>287</v>
      </c>
      <c r="B190" s="1">
        <v>45500</v>
      </c>
      <c r="C190" s="4" t="s">
        <v>419</v>
      </c>
      <c r="D190" s="4" t="s">
        <v>412</v>
      </c>
      <c r="E190" s="1">
        <v>45504</v>
      </c>
      <c r="F190" s="4" t="s">
        <v>80</v>
      </c>
      <c r="G190" s="4" t="s">
        <v>42</v>
      </c>
      <c r="H190" s="4" t="s">
        <v>71</v>
      </c>
      <c r="I190" s="4" t="s">
        <v>34</v>
      </c>
      <c r="J190" s="4" t="s">
        <v>25</v>
      </c>
      <c r="K190" s="3">
        <v>564</v>
      </c>
      <c r="L190" s="5">
        <v>36</v>
      </c>
      <c r="M190" s="3">
        <v>20304</v>
      </c>
      <c r="N190" s="3">
        <f>AVERAGE(Mobile_Phone_Sales[[#This Row],[Total_Revenue]]/Mobile_Phone_Sales[[#This Row],[Units_Sold]])</f>
        <v>564</v>
      </c>
      <c r="O190" s="4" t="s">
        <v>35</v>
      </c>
      <c r="P190" s="4" t="s">
        <v>44</v>
      </c>
      <c r="Q190" s="5">
        <v>20</v>
      </c>
      <c r="R190" s="4" t="s">
        <v>87</v>
      </c>
      <c r="S190" s="4" t="s">
        <v>45</v>
      </c>
      <c r="T190" s="4" t="s">
        <v>68</v>
      </c>
      <c r="U190" s="4" t="s">
        <v>127</v>
      </c>
    </row>
    <row r="191" spans="1:21" x14ac:dyDescent="0.25">
      <c r="A191" s="4" t="s">
        <v>288</v>
      </c>
      <c r="B191" s="1">
        <v>45501</v>
      </c>
      <c r="C191" s="4" t="s">
        <v>419</v>
      </c>
      <c r="D191" s="4" t="s">
        <v>413</v>
      </c>
      <c r="E191" s="1">
        <v>45504</v>
      </c>
      <c r="F191" s="4" t="s">
        <v>85</v>
      </c>
      <c r="G191" s="4" t="s">
        <v>22</v>
      </c>
      <c r="H191" s="4" t="s">
        <v>23</v>
      </c>
      <c r="I191" s="4" t="s">
        <v>72</v>
      </c>
      <c r="J191" s="4" t="s">
        <v>25</v>
      </c>
      <c r="K191" s="3">
        <v>1067</v>
      </c>
      <c r="L191" s="5">
        <v>13</v>
      </c>
      <c r="M191" s="3">
        <v>13871</v>
      </c>
      <c r="N191" s="3">
        <f>AVERAGE(Mobile_Phone_Sales[[#This Row],[Total_Revenue]]/Mobile_Phone_Sales[[#This Row],[Units_Sold]])</f>
        <v>1067</v>
      </c>
      <c r="O191" s="4" t="s">
        <v>65</v>
      </c>
      <c r="P191" s="4" t="s">
        <v>44</v>
      </c>
      <c r="Q191" s="5">
        <v>19</v>
      </c>
      <c r="R191" s="4" t="s">
        <v>87</v>
      </c>
      <c r="S191" s="4" t="s">
        <v>29</v>
      </c>
      <c r="T191" s="4" t="s">
        <v>46</v>
      </c>
      <c r="U191" s="4" t="s">
        <v>47</v>
      </c>
    </row>
    <row r="192" spans="1:21" x14ac:dyDescent="0.25">
      <c r="A192" s="4" t="s">
        <v>289</v>
      </c>
      <c r="B192" s="1">
        <v>45503</v>
      </c>
      <c r="C192" s="4" t="s">
        <v>419</v>
      </c>
      <c r="D192" s="4" t="s">
        <v>408</v>
      </c>
      <c r="E192" s="1">
        <v>45504</v>
      </c>
      <c r="F192" s="4" t="s">
        <v>131</v>
      </c>
      <c r="G192" s="4" t="s">
        <v>103</v>
      </c>
      <c r="H192" s="4" t="s">
        <v>33</v>
      </c>
      <c r="I192" s="4" t="s">
        <v>34</v>
      </c>
      <c r="J192" s="4" t="s">
        <v>104</v>
      </c>
      <c r="K192" s="3">
        <v>816</v>
      </c>
      <c r="L192" s="5">
        <v>95</v>
      </c>
      <c r="M192" s="3">
        <v>77520</v>
      </c>
      <c r="N192" s="3">
        <f>AVERAGE(Mobile_Phone_Sales[[#This Row],[Total_Revenue]]/Mobile_Phone_Sales[[#This Row],[Units_Sold]])</f>
        <v>816</v>
      </c>
      <c r="O192" s="4" t="s">
        <v>26</v>
      </c>
      <c r="P192" s="4" t="s">
        <v>44</v>
      </c>
      <c r="Q192" s="5">
        <v>21</v>
      </c>
      <c r="R192" s="4" t="s">
        <v>87</v>
      </c>
      <c r="S192" s="4" t="s">
        <v>45</v>
      </c>
      <c r="T192" s="4" t="s">
        <v>68</v>
      </c>
      <c r="U192" s="4" t="s">
        <v>83</v>
      </c>
    </row>
    <row r="193" spans="1:21" x14ac:dyDescent="0.25">
      <c r="A193" s="4" t="s">
        <v>290</v>
      </c>
      <c r="B193" s="1">
        <v>45504</v>
      </c>
      <c r="C193" s="4" t="s">
        <v>419</v>
      </c>
      <c r="D193" s="4" t="s">
        <v>409</v>
      </c>
      <c r="E193" s="1">
        <v>45504</v>
      </c>
      <c r="F193" s="4" t="s">
        <v>21</v>
      </c>
      <c r="G193" s="4" t="s">
        <v>22</v>
      </c>
      <c r="H193" s="4" t="s">
        <v>71</v>
      </c>
      <c r="I193" s="4" t="s">
        <v>43</v>
      </c>
      <c r="J193" s="4" t="s">
        <v>25</v>
      </c>
      <c r="K193" s="3">
        <v>543</v>
      </c>
      <c r="L193" s="5">
        <v>32</v>
      </c>
      <c r="M193" s="3">
        <v>17376</v>
      </c>
      <c r="N193" s="3">
        <f>AVERAGE(Mobile_Phone_Sales[[#This Row],[Total_Revenue]]/Mobile_Phone_Sales[[#This Row],[Units_Sold]])</f>
        <v>543</v>
      </c>
      <c r="O193" s="4" t="s">
        <v>26</v>
      </c>
      <c r="P193" s="4" t="s">
        <v>51</v>
      </c>
      <c r="Q193" s="5">
        <v>37</v>
      </c>
      <c r="R193" s="4" t="s">
        <v>28</v>
      </c>
      <c r="S193" s="4" t="s">
        <v>45</v>
      </c>
      <c r="T193" s="4" t="s">
        <v>68</v>
      </c>
      <c r="U193" s="4" t="s">
        <v>121</v>
      </c>
    </row>
    <row r="194" spans="1:21" x14ac:dyDescent="0.25">
      <c r="A194" s="4" t="s">
        <v>291</v>
      </c>
      <c r="B194" s="1">
        <v>45507</v>
      </c>
      <c r="C194" s="4" t="s">
        <v>420</v>
      </c>
      <c r="D194" s="4" t="s">
        <v>412</v>
      </c>
      <c r="E194" s="1">
        <v>45535</v>
      </c>
      <c r="F194" s="4" t="s">
        <v>78</v>
      </c>
      <c r="G194" s="4" t="s">
        <v>22</v>
      </c>
      <c r="H194" s="4" t="s">
        <v>23</v>
      </c>
      <c r="I194" s="4" t="s">
        <v>58</v>
      </c>
      <c r="J194" s="4" t="s">
        <v>25</v>
      </c>
      <c r="K194" s="3">
        <v>750</v>
      </c>
      <c r="L194" s="5">
        <v>8</v>
      </c>
      <c r="M194" s="3">
        <v>6000</v>
      </c>
      <c r="N194" s="3">
        <f>AVERAGE(Mobile_Phone_Sales[[#This Row],[Total_Revenue]]/Mobile_Phone_Sales[[#This Row],[Units_Sold]])</f>
        <v>750</v>
      </c>
      <c r="O194" s="4" t="s">
        <v>26</v>
      </c>
      <c r="P194" s="4" t="s">
        <v>27</v>
      </c>
      <c r="Q194" s="5">
        <v>20</v>
      </c>
      <c r="R194" s="4" t="s">
        <v>87</v>
      </c>
      <c r="S194" s="4" t="s">
        <v>45</v>
      </c>
      <c r="T194" s="4" t="s">
        <v>68</v>
      </c>
      <c r="U194" s="4" t="s">
        <v>170</v>
      </c>
    </row>
    <row r="195" spans="1:21" x14ac:dyDescent="0.25">
      <c r="A195" s="4" t="s">
        <v>292</v>
      </c>
      <c r="B195" s="1">
        <v>45508</v>
      </c>
      <c r="C195" s="4" t="s">
        <v>420</v>
      </c>
      <c r="D195" s="4" t="s">
        <v>413</v>
      </c>
      <c r="E195" s="1">
        <v>45535</v>
      </c>
      <c r="F195" s="4" t="s">
        <v>82</v>
      </c>
      <c r="G195" s="4" t="s">
        <v>50</v>
      </c>
      <c r="H195" s="4" t="s">
        <v>71</v>
      </c>
      <c r="I195" s="4" t="s">
        <v>58</v>
      </c>
      <c r="J195" s="4" t="s">
        <v>25</v>
      </c>
      <c r="K195" s="3">
        <v>521</v>
      </c>
      <c r="L195" s="5">
        <v>88</v>
      </c>
      <c r="M195" s="3">
        <v>45848</v>
      </c>
      <c r="N195" s="3">
        <f>AVERAGE(Mobile_Phone_Sales[[#This Row],[Total_Revenue]]/Mobile_Phone_Sales[[#This Row],[Units_Sold]])</f>
        <v>521</v>
      </c>
      <c r="O195" s="4" t="s">
        <v>26</v>
      </c>
      <c r="P195" s="4" t="s">
        <v>44</v>
      </c>
      <c r="Q195" s="5">
        <v>54</v>
      </c>
      <c r="R195" s="4" t="s">
        <v>37</v>
      </c>
      <c r="S195" s="4" t="s">
        <v>29</v>
      </c>
      <c r="T195" s="4" t="s">
        <v>53</v>
      </c>
      <c r="U195" s="4" t="s">
        <v>62</v>
      </c>
    </row>
    <row r="196" spans="1:21" x14ac:dyDescent="0.25">
      <c r="A196" s="4" t="s">
        <v>293</v>
      </c>
      <c r="B196" s="1">
        <v>45509</v>
      </c>
      <c r="C196" s="4" t="s">
        <v>420</v>
      </c>
      <c r="D196" s="4" t="s">
        <v>407</v>
      </c>
      <c r="E196" s="1">
        <v>45535</v>
      </c>
      <c r="F196" s="4" t="s">
        <v>82</v>
      </c>
      <c r="G196" s="4" t="s">
        <v>50</v>
      </c>
      <c r="H196" s="4" t="s">
        <v>33</v>
      </c>
      <c r="I196" s="4" t="s">
        <v>24</v>
      </c>
      <c r="J196" s="4" t="s">
        <v>25</v>
      </c>
      <c r="K196" s="3">
        <v>531</v>
      </c>
      <c r="L196" s="5">
        <v>52</v>
      </c>
      <c r="M196" s="3">
        <v>27612</v>
      </c>
      <c r="N196" s="3">
        <f>AVERAGE(Mobile_Phone_Sales[[#This Row],[Total_Revenue]]/Mobile_Phone_Sales[[#This Row],[Units_Sold]])</f>
        <v>531</v>
      </c>
      <c r="O196" s="4" t="s">
        <v>65</v>
      </c>
      <c r="P196" s="4" t="s">
        <v>36</v>
      </c>
      <c r="Q196" s="5">
        <v>60</v>
      </c>
      <c r="R196" s="4" t="s">
        <v>66</v>
      </c>
      <c r="S196" s="4" t="s">
        <v>38</v>
      </c>
      <c r="T196" s="4" t="s">
        <v>53</v>
      </c>
      <c r="U196" s="4" t="s">
        <v>100</v>
      </c>
    </row>
    <row r="197" spans="1:21" x14ac:dyDescent="0.25">
      <c r="A197" s="4" t="s">
        <v>294</v>
      </c>
      <c r="B197" s="1">
        <v>45511</v>
      </c>
      <c r="C197" s="4" t="s">
        <v>420</v>
      </c>
      <c r="D197" s="4" t="s">
        <v>409</v>
      </c>
      <c r="E197" s="1">
        <v>45535</v>
      </c>
      <c r="F197" s="4" t="s">
        <v>21</v>
      </c>
      <c r="G197" s="4" t="s">
        <v>22</v>
      </c>
      <c r="H197" s="4" t="s">
        <v>71</v>
      </c>
      <c r="I197" s="4" t="s">
        <v>34</v>
      </c>
      <c r="J197" s="4" t="s">
        <v>25</v>
      </c>
      <c r="K197" s="3">
        <v>512</v>
      </c>
      <c r="L197" s="5">
        <v>34</v>
      </c>
      <c r="M197" s="3">
        <v>17408</v>
      </c>
      <c r="N197" s="3">
        <f>AVERAGE(Mobile_Phone_Sales[[#This Row],[Total_Revenue]]/Mobile_Phone_Sales[[#This Row],[Units_Sold]])</f>
        <v>512</v>
      </c>
      <c r="O197" s="4" t="s">
        <v>26</v>
      </c>
      <c r="P197" s="4" t="s">
        <v>36</v>
      </c>
      <c r="Q197" s="5">
        <v>29</v>
      </c>
      <c r="R197" s="4" t="s">
        <v>52</v>
      </c>
      <c r="S197" s="4" t="s">
        <v>38</v>
      </c>
      <c r="T197" s="4" t="s">
        <v>68</v>
      </c>
      <c r="U197" s="4" t="s">
        <v>121</v>
      </c>
    </row>
    <row r="198" spans="1:21" x14ac:dyDescent="0.25">
      <c r="A198" s="4" t="s">
        <v>295</v>
      </c>
      <c r="B198" s="1">
        <v>45512</v>
      </c>
      <c r="C198" s="4" t="s">
        <v>420</v>
      </c>
      <c r="D198" s="4" t="s">
        <v>410</v>
      </c>
      <c r="E198" s="1">
        <v>45535</v>
      </c>
      <c r="F198" s="4" t="s">
        <v>146</v>
      </c>
      <c r="G198" s="4" t="s">
        <v>57</v>
      </c>
      <c r="H198" s="4" t="s">
        <v>23</v>
      </c>
      <c r="I198" s="4" t="s">
        <v>43</v>
      </c>
      <c r="J198" s="4" t="s">
        <v>25</v>
      </c>
      <c r="K198" s="3">
        <v>413</v>
      </c>
      <c r="L198" s="5">
        <v>25</v>
      </c>
      <c r="M198" s="3">
        <v>10325</v>
      </c>
      <c r="N198" s="3">
        <f>AVERAGE(Mobile_Phone_Sales[[#This Row],[Total_Revenue]]/Mobile_Phone_Sales[[#This Row],[Units_Sold]])</f>
        <v>413</v>
      </c>
      <c r="O198" s="4" t="s">
        <v>26</v>
      </c>
      <c r="P198" s="4" t="s">
        <v>27</v>
      </c>
      <c r="Q198" s="5">
        <v>42</v>
      </c>
      <c r="R198" s="4" t="s">
        <v>59</v>
      </c>
      <c r="S198" s="4" t="s">
        <v>45</v>
      </c>
      <c r="T198" s="4" t="s">
        <v>68</v>
      </c>
      <c r="U198" s="4" t="s">
        <v>121</v>
      </c>
    </row>
    <row r="199" spans="1:21" x14ac:dyDescent="0.25">
      <c r="A199" s="4" t="s">
        <v>296</v>
      </c>
      <c r="B199" s="1">
        <v>45513</v>
      </c>
      <c r="C199" s="4" t="s">
        <v>420</v>
      </c>
      <c r="D199" s="4" t="s">
        <v>411</v>
      </c>
      <c r="E199" s="1">
        <v>45535</v>
      </c>
      <c r="F199" s="4" t="s">
        <v>96</v>
      </c>
      <c r="G199" s="4" t="s">
        <v>42</v>
      </c>
      <c r="H199" s="4" t="s">
        <v>33</v>
      </c>
      <c r="I199" s="4" t="s">
        <v>24</v>
      </c>
      <c r="J199" s="4" t="s">
        <v>25</v>
      </c>
      <c r="K199" s="3">
        <v>843</v>
      </c>
      <c r="L199" s="5">
        <v>97</v>
      </c>
      <c r="M199" s="3">
        <v>81771</v>
      </c>
      <c r="N199" s="3">
        <f>AVERAGE(Mobile_Phone_Sales[[#This Row],[Total_Revenue]]/Mobile_Phone_Sales[[#This Row],[Units_Sold]])</f>
        <v>843</v>
      </c>
      <c r="O199" s="4" t="s">
        <v>26</v>
      </c>
      <c r="P199" s="4" t="s">
        <v>51</v>
      </c>
      <c r="Q199" s="5">
        <v>34</v>
      </c>
      <c r="R199" s="4" t="s">
        <v>28</v>
      </c>
      <c r="S199" s="4" t="s">
        <v>45</v>
      </c>
      <c r="T199" s="4" t="s">
        <v>53</v>
      </c>
      <c r="U199" s="4" t="s">
        <v>62</v>
      </c>
    </row>
    <row r="200" spans="1:21" x14ac:dyDescent="0.25">
      <c r="A200" s="4" t="s">
        <v>297</v>
      </c>
      <c r="B200" s="1">
        <v>45514</v>
      </c>
      <c r="C200" s="4" t="s">
        <v>420</v>
      </c>
      <c r="D200" s="4" t="s">
        <v>412</v>
      </c>
      <c r="E200" s="1">
        <v>45535</v>
      </c>
      <c r="F200" s="4" t="s">
        <v>96</v>
      </c>
      <c r="G200" s="4" t="s">
        <v>42</v>
      </c>
      <c r="H200" s="4" t="s">
        <v>71</v>
      </c>
      <c r="I200" s="4" t="s">
        <v>43</v>
      </c>
      <c r="J200" s="4" t="s">
        <v>25</v>
      </c>
      <c r="K200" s="3">
        <v>803</v>
      </c>
      <c r="L200" s="5">
        <v>97</v>
      </c>
      <c r="M200" s="3">
        <v>77891</v>
      </c>
      <c r="N200" s="3">
        <f>AVERAGE(Mobile_Phone_Sales[[#This Row],[Total_Revenue]]/Mobile_Phone_Sales[[#This Row],[Units_Sold]])</f>
        <v>803</v>
      </c>
      <c r="O200" s="4" t="s">
        <v>26</v>
      </c>
      <c r="P200" s="4" t="s">
        <v>36</v>
      </c>
      <c r="Q200" s="5">
        <v>21</v>
      </c>
      <c r="R200" s="4" t="s">
        <v>87</v>
      </c>
      <c r="S200" s="4" t="s">
        <v>29</v>
      </c>
      <c r="T200" s="4" t="s">
        <v>68</v>
      </c>
      <c r="U200" s="4" t="s">
        <v>132</v>
      </c>
    </row>
    <row r="201" spans="1:21" x14ac:dyDescent="0.25">
      <c r="A201" s="4" t="s">
        <v>298</v>
      </c>
      <c r="B201" s="1">
        <v>45515</v>
      </c>
      <c r="C201" s="4" t="s">
        <v>420</v>
      </c>
      <c r="D201" s="4" t="s">
        <v>413</v>
      </c>
      <c r="E201" s="1">
        <v>45535</v>
      </c>
      <c r="F201" s="4" t="s">
        <v>78</v>
      </c>
      <c r="G201" s="4" t="s">
        <v>22</v>
      </c>
      <c r="H201" s="4" t="s">
        <v>23</v>
      </c>
      <c r="I201" s="4" t="s">
        <v>58</v>
      </c>
      <c r="J201" s="4" t="s">
        <v>25</v>
      </c>
      <c r="K201" s="3">
        <v>792</v>
      </c>
      <c r="L201" s="5">
        <v>20</v>
      </c>
      <c r="M201" s="3">
        <v>15840</v>
      </c>
      <c r="N201" s="3">
        <f>AVERAGE(Mobile_Phone_Sales[[#This Row],[Total_Revenue]]/Mobile_Phone_Sales[[#This Row],[Units_Sold]])</f>
        <v>792</v>
      </c>
      <c r="O201" s="4" t="s">
        <v>26</v>
      </c>
      <c r="P201" s="4" t="s">
        <v>51</v>
      </c>
      <c r="Q201" s="5">
        <v>41</v>
      </c>
      <c r="R201" s="4" t="s">
        <v>28</v>
      </c>
      <c r="S201" s="4" t="s">
        <v>45</v>
      </c>
      <c r="T201" s="4" t="s">
        <v>53</v>
      </c>
      <c r="U201" s="4" t="s">
        <v>73</v>
      </c>
    </row>
    <row r="202" spans="1:21" x14ac:dyDescent="0.25">
      <c r="A202" s="4" t="s">
        <v>299</v>
      </c>
      <c r="B202" s="1">
        <v>45516</v>
      </c>
      <c r="C202" s="4" t="s">
        <v>420</v>
      </c>
      <c r="D202" s="4" t="s">
        <v>407</v>
      </c>
      <c r="E202" s="1">
        <v>45535</v>
      </c>
      <c r="F202" s="4" t="s">
        <v>21</v>
      </c>
      <c r="G202" s="4" t="s">
        <v>22</v>
      </c>
      <c r="H202" s="4" t="s">
        <v>33</v>
      </c>
      <c r="I202" s="4" t="s">
        <v>58</v>
      </c>
      <c r="J202" s="4" t="s">
        <v>25</v>
      </c>
      <c r="K202" s="3">
        <v>516</v>
      </c>
      <c r="L202" s="5">
        <v>20</v>
      </c>
      <c r="M202" s="3">
        <v>10320</v>
      </c>
      <c r="N202" s="3">
        <f>AVERAGE(Mobile_Phone_Sales[[#This Row],[Total_Revenue]]/Mobile_Phone_Sales[[#This Row],[Units_Sold]])</f>
        <v>516</v>
      </c>
      <c r="O202" s="4" t="s">
        <v>26</v>
      </c>
      <c r="P202" s="4" t="s">
        <v>51</v>
      </c>
      <c r="Q202" s="5">
        <v>42</v>
      </c>
      <c r="R202" s="4" t="s">
        <v>59</v>
      </c>
      <c r="S202" s="4" t="s">
        <v>45</v>
      </c>
      <c r="T202" s="4" t="s">
        <v>53</v>
      </c>
      <c r="U202" s="4" t="s">
        <v>94</v>
      </c>
    </row>
    <row r="203" spans="1:21" x14ac:dyDescent="0.25">
      <c r="A203" s="4" t="s">
        <v>300</v>
      </c>
      <c r="B203" s="1">
        <v>45517</v>
      </c>
      <c r="C203" s="4" t="s">
        <v>420</v>
      </c>
      <c r="D203" s="4" t="s">
        <v>408</v>
      </c>
      <c r="E203" s="1">
        <v>45535</v>
      </c>
      <c r="F203" s="4" t="s">
        <v>82</v>
      </c>
      <c r="G203" s="4" t="s">
        <v>50</v>
      </c>
      <c r="H203" s="4" t="s">
        <v>23</v>
      </c>
      <c r="I203" s="4" t="s">
        <v>24</v>
      </c>
      <c r="J203" s="4" t="s">
        <v>25</v>
      </c>
      <c r="K203" s="3">
        <v>535</v>
      </c>
      <c r="L203" s="5">
        <v>76</v>
      </c>
      <c r="M203" s="3">
        <v>40660</v>
      </c>
      <c r="N203" s="3">
        <f>AVERAGE(Mobile_Phone_Sales[[#This Row],[Total_Revenue]]/Mobile_Phone_Sales[[#This Row],[Units_Sold]])</f>
        <v>535</v>
      </c>
      <c r="O203" s="4" t="s">
        <v>26</v>
      </c>
      <c r="P203" s="4" t="s">
        <v>27</v>
      </c>
      <c r="Q203" s="5">
        <v>41</v>
      </c>
      <c r="R203" s="4" t="s">
        <v>28</v>
      </c>
      <c r="S203" s="4" t="s">
        <v>29</v>
      </c>
      <c r="T203" s="4" t="s">
        <v>68</v>
      </c>
      <c r="U203" s="4" t="s">
        <v>127</v>
      </c>
    </row>
    <row r="204" spans="1:21" x14ac:dyDescent="0.25">
      <c r="A204" s="4" t="s">
        <v>301</v>
      </c>
      <c r="B204" s="1">
        <v>45518</v>
      </c>
      <c r="C204" s="4" t="s">
        <v>420</v>
      </c>
      <c r="D204" s="4" t="s">
        <v>409</v>
      </c>
      <c r="E204" s="1">
        <v>45535</v>
      </c>
      <c r="F204" s="4" t="s">
        <v>78</v>
      </c>
      <c r="G204" s="4" t="s">
        <v>22</v>
      </c>
      <c r="H204" s="4" t="s">
        <v>33</v>
      </c>
      <c r="I204" s="4" t="s">
        <v>24</v>
      </c>
      <c r="J204" s="4" t="s">
        <v>25</v>
      </c>
      <c r="K204" s="3">
        <v>726</v>
      </c>
      <c r="L204" s="5">
        <v>16</v>
      </c>
      <c r="M204" s="3">
        <v>11616</v>
      </c>
      <c r="N204" s="3">
        <f>AVERAGE(Mobile_Phone_Sales[[#This Row],[Total_Revenue]]/Mobile_Phone_Sales[[#This Row],[Units_Sold]])</f>
        <v>726</v>
      </c>
      <c r="O204" s="4" t="s">
        <v>26</v>
      </c>
      <c r="P204" s="4" t="s">
        <v>44</v>
      </c>
      <c r="Q204" s="5">
        <v>48</v>
      </c>
      <c r="R204" s="4" t="s">
        <v>59</v>
      </c>
      <c r="S204" s="4" t="s">
        <v>29</v>
      </c>
      <c r="T204" s="4" t="s">
        <v>53</v>
      </c>
      <c r="U204" s="4" t="s">
        <v>54</v>
      </c>
    </row>
    <row r="205" spans="1:21" x14ac:dyDescent="0.25">
      <c r="A205" s="4" t="s">
        <v>302</v>
      </c>
      <c r="B205" s="1">
        <v>45519</v>
      </c>
      <c r="C205" s="4" t="s">
        <v>420</v>
      </c>
      <c r="D205" s="4" t="s">
        <v>410</v>
      </c>
      <c r="E205" s="1">
        <v>45535</v>
      </c>
      <c r="F205" s="4" t="s">
        <v>120</v>
      </c>
      <c r="G205" s="4" t="s">
        <v>57</v>
      </c>
      <c r="H205" s="4" t="s">
        <v>71</v>
      </c>
      <c r="I205" s="4" t="s">
        <v>34</v>
      </c>
      <c r="J205" s="4" t="s">
        <v>25</v>
      </c>
      <c r="K205" s="3">
        <v>395</v>
      </c>
      <c r="L205" s="5">
        <v>75</v>
      </c>
      <c r="M205" s="3">
        <v>29625</v>
      </c>
      <c r="N205" s="3">
        <f>AVERAGE(Mobile_Phone_Sales[[#This Row],[Total_Revenue]]/Mobile_Phone_Sales[[#This Row],[Units_Sold]])</f>
        <v>395</v>
      </c>
      <c r="O205" s="4" t="s">
        <v>26</v>
      </c>
      <c r="P205" s="4" t="s">
        <v>27</v>
      </c>
      <c r="Q205" s="5">
        <v>62</v>
      </c>
      <c r="R205" s="4" t="s">
        <v>66</v>
      </c>
      <c r="S205" s="4" t="s">
        <v>45</v>
      </c>
      <c r="T205" s="4" t="s">
        <v>68</v>
      </c>
      <c r="U205" s="4" t="s">
        <v>69</v>
      </c>
    </row>
    <row r="206" spans="1:21" x14ac:dyDescent="0.25">
      <c r="A206" s="4" t="s">
        <v>303</v>
      </c>
      <c r="B206" s="1">
        <v>45521</v>
      </c>
      <c r="C206" s="4" t="s">
        <v>420</v>
      </c>
      <c r="D206" s="4" t="s">
        <v>412</v>
      </c>
      <c r="E206" s="1">
        <v>45535</v>
      </c>
      <c r="F206" s="4" t="s">
        <v>82</v>
      </c>
      <c r="G206" s="4" t="s">
        <v>50</v>
      </c>
      <c r="H206" s="4" t="s">
        <v>23</v>
      </c>
      <c r="I206" s="4" t="s">
        <v>24</v>
      </c>
      <c r="J206" s="4" t="s">
        <v>25</v>
      </c>
      <c r="K206" s="3">
        <v>525</v>
      </c>
      <c r="L206" s="5">
        <v>51</v>
      </c>
      <c r="M206" s="3">
        <v>26775</v>
      </c>
      <c r="N206" s="3">
        <f>AVERAGE(Mobile_Phone_Sales[[#This Row],[Total_Revenue]]/Mobile_Phone_Sales[[#This Row],[Units_Sold]])</f>
        <v>525</v>
      </c>
      <c r="O206" s="4" t="s">
        <v>26</v>
      </c>
      <c r="P206" s="4" t="s">
        <v>36</v>
      </c>
      <c r="Q206" s="5">
        <v>29</v>
      </c>
      <c r="R206" s="4" t="s">
        <v>52</v>
      </c>
      <c r="S206" s="4" t="s">
        <v>45</v>
      </c>
      <c r="T206" s="4" t="s">
        <v>68</v>
      </c>
      <c r="U206" s="4" t="s">
        <v>91</v>
      </c>
    </row>
    <row r="207" spans="1:21" x14ac:dyDescent="0.25">
      <c r="A207" s="4" t="s">
        <v>304</v>
      </c>
      <c r="B207" s="1">
        <v>45522</v>
      </c>
      <c r="C207" s="4" t="s">
        <v>420</v>
      </c>
      <c r="D207" s="4" t="s">
        <v>413</v>
      </c>
      <c r="E207" s="1">
        <v>45535</v>
      </c>
      <c r="F207" s="4" t="s">
        <v>75</v>
      </c>
      <c r="G207" s="4" t="s">
        <v>50</v>
      </c>
      <c r="H207" s="4" t="s">
        <v>33</v>
      </c>
      <c r="I207" s="4" t="s">
        <v>58</v>
      </c>
      <c r="J207" s="4" t="s">
        <v>25</v>
      </c>
      <c r="K207" s="3">
        <v>382</v>
      </c>
      <c r="L207" s="5">
        <v>75</v>
      </c>
      <c r="M207" s="3">
        <v>28650</v>
      </c>
      <c r="N207" s="3">
        <f>AVERAGE(Mobile_Phone_Sales[[#This Row],[Total_Revenue]]/Mobile_Phone_Sales[[#This Row],[Units_Sold]])</f>
        <v>382</v>
      </c>
      <c r="O207" s="4" t="s">
        <v>35</v>
      </c>
      <c r="P207" s="4" t="s">
        <v>44</v>
      </c>
      <c r="Q207" s="5">
        <v>19</v>
      </c>
      <c r="R207" s="4" t="s">
        <v>87</v>
      </c>
      <c r="S207" s="4" t="s">
        <v>29</v>
      </c>
      <c r="T207" s="4" t="s">
        <v>53</v>
      </c>
      <c r="U207" s="4" t="s">
        <v>73</v>
      </c>
    </row>
    <row r="208" spans="1:21" x14ac:dyDescent="0.25">
      <c r="A208" s="4" t="s">
        <v>305</v>
      </c>
      <c r="B208" s="1">
        <v>45523</v>
      </c>
      <c r="C208" s="4" t="s">
        <v>420</v>
      </c>
      <c r="D208" s="4" t="s">
        <v>407</v>
      </c>
      <c r="E208" s="1">
        <v>45535</v>
      </c>
      <c r="F208" s="4" t="s">
        <v>120</v>
      </c>
      <c r="G208" s="4" t="s">
        <v>57</v>
      </c>
      <c r="H208" s="4" t="s">
        <v>71</v>
      </c>
      <c r="I208" s="4" t="s">
        <v>72</v>
      </c>
      <c r="J208" s="4" t="s">
        <v>25</v>
      </c>
      <c r="K208" s="3">
        <v>356</v>
      </c>
      <c r="L208" s="5">
        <v>58</v>
      </c>
      <c r="M208" s="3">
        <v>20648</v>
      </c>
      <c r="N208" s="3">
        <f>AVERAGE(Mobile_Phone_Sales[[#This Row],[Total_Revenue]]/Mobile_Phone_Sales[[#This Row],[Units_Sold]])</f>
        <v>356</v>
      </c>
      <c r="O208" s="4" t="s">
        <v>65</v>
      </c>
      <c r="P208" s="4" t="s">
        <v>44</v>
      </c>
      <c r="Q208" s="5">
        <v>23</v>
      </c>
      <c r="R208" s="4" t="s">
        <v>87</v>
      </c>
      <c r="S208" s="4" t="s">
        <v>38</v>
      </c>
      <c r="T208" s="4" t="s">
        <v>68</v>
      </c>
      <c r="U208" s="4" t="s">
        <v>121</v>
      </c>
    </row>
    <row r="209" spans="1:21" x14ac:dyDescent="0.25">
      <c r="A209" s="4" t="s">
        <v>306</v>
      </c>
      <c r="B209" s="1">
        <v>45524</v>
      </c>
      <c r="C209" s="4" t="s">
        <v>420</v>
      </c>
      <c r="D209" s="4" t="s">
        <v>408</v>
      </c>
      <c r="E209" s="1">
        <v>45535</v>
      </c>
      <c r="F209" s="4" t="s">
        <v>56</v>
      </c>
      <c r="G209" s="4" t="s">
        <v>57</v>
      </c>
      <c r="H209" s="4" t="s">
        <v>23</v>
      </c>
      <c r="I209" s="4" t="s">
        <v>72</v>
      </c>
      <c r="J209" s="4" t="s">
        <v>25</v>
      </c>
      <c r="K209" s="3">
        <v>1857</v>
      </c>
      <c r="L209" s="5">
        <v>94</v>
      </c>
      <c r="M209" s="3">
        <v>174558</v>
      </c>
      <c r="N209" s="3">
        <f>AVERAGE(Mobile_Phone_Sales[[#This Row],[Total_Revenue]]/Mobile_Phone_Sales[[#This Row],[Units_Sold]])</f>
        <v>1857</v>
      </c>
      <c r="O209" s="4" t="s">
        <v>26</v>
      </c>
      <c r="P209" s="4" t="s">
        <v>51</v>
      </c>
      <c r="Q209" s="5">
        <v>19</v>
      </c>
      <c r="R209" s="4" t="s">
        <v>87</v>
      </c>
      <c r="S209" s="4" t="s">
        <v>45</v>
      </c>
      <c r="T209" s="4" t="s">
        <v>68</v>
      </c>
      <c r="U209" s="4" t="s">
        <v>132</v>
      </c>
    </row>
    <row r="210" spans="1:21" x14ac:dyDescent="0.25">
      <c r="A210" s="4" t="s">
        <v>307</v>
      </c>
      <c r="B210" s="1">
        <v>45526</v>
      </c>
      <c r="C210" s="4" t="s">
        <v>420</v>
      </c>
      <c r="D210" s="4" t="s">
        <v>410</v>
      </c>
      <c r="E210" s="1">
        <v>45535</v>
      </c>
      <c r="F210" s="4" t="s">
        <v>120</v>
      </c>
      <c r="G210" s="4" t="s">
        <v>57</v>
      </c>
      <c r="H210" s="4" t="s">
        <v>23</v>
      </c>
      <c r="I210" s="4" t="s">
        <v>58</v>
      </c>
      <c r="J210" s="4" t="s">
        <v>25</v>
      </c>
      <c r="K210" s="3">
        <v>306</v>
      </c>
      <c r="L210" s="5">
        <v>20</v>
      </c>
      <c r="M210" s="3">
        <v>6120</v>
      </c>
      <c r="N210" s="3">
        <f>AVERAGE(Mobile_Phone_Sales[[#This Row],[Total_Revenue]]/Mobile_Phone_Sales[[#This Row],[Units_Sold]])</f>
        <v>306</v>
      </c>
      <c r="O210" s="4" t="s">
        <v>26</v>
      </c>
      <c r="P210" s="4" t="s">
        <v>44</v>
      </c>
      <c r="Q210" s="5">
        <v>19</v>
      </c>
      <c r="R210" s="4" t="s">
        <v>87</v>
      </c>
      <c r="S210" s="4" t="s">
        <v>45</v>
      </c>
      <c r="T210" s="4" t="s">
        <v>68</v>
      </c>
      <c r="U210" s="4" t="s">
        <v>88</v>
      </c>
    </row>
    <row r="211" spans="1:21" x14ac:dyDescent="0.25">
      <c r="A211" s="4" t="s">
        <v>308</v>
      </c>
      <c r="B211" s="1">
        <v>45528</v>
      </c>
      <c r="C211" s="4" t="s">
        <v>420</v>
      </c>
      <c r="D211" s="4" t="s">
        <v>412</v>
      </c>
      <c r="E211" s="1">
        <v>45535</v>
      </c>
      <c r="F211" s="4" t="s">
        <v>75</v>
      </c>
      <c r="G211" s="4" t="s">
        <v>50</v>
      </c>
      <c r="H211" s="4" t="s">
        <v>71</v>
      </c>
      <c r="I211" s="4" t="s">
        <v>24</v>
      </c>
      <c r="J211" s="4" t="s">
        <v>25</v>
      </c>
      <c r="K211" s="3">
        <v>356</v>
      </c>
      <c r="L211" s="5">
        <v>62</v>
      </c>
      <c r="M211" s="3">
        <v>22072</v>
      </c>
      <c r="N211" s="3">
        <f>AVERAGE(Mobile_Phone_Sales[[#This Row],[Total_Revenue]]/Mobile_Phone_Sales[[#This Row],[Units_Sold]])</f>
        <v>356</v>
      </c>
      <c r="O211" s="4" t="s">
        <v>26</v>
      </c>
      <c r="P211" s="4" t="s">
        <v>27</v>
      </c>
      <c r="Q211" s="5">
        <v>59</v>
      </c>
      <c r="R211" s="4" t="s">
        <v>66</v>
      </c>
      <c r="S211" s="4" t="s">
        <v>29</v>
      </c>
      <c r="T211" s="4" t="s">
        <v>68</v>
      </c>
      <c r="U211" s="4" t="s">
        <v>121</v>
      </c>
    </row>
    <row r="212" spans="1:21" x14ac:dyDescent="0.25">
      <c r="A212" s="4" t="s">
        <v>309</v>
      </c>
      <c r="B212" s="1">
        <v>45529</v>
      </c>
      <c r="C212" s="4" t="s">
        <v>420</v>
      </c>
      <c r="D212" s="4" t="s">
        <v>413</v>
      </c>
      <c r="E212" s="1">
        <v>45535</v>
      </c>
      <c r="F212" s="4" t="s">
        <v>56</v>
      </c>
      <c r="G212" s="4" t="s">
        <v>57</v>
      </c>
      <c r="H212" s="4" t="s">
        <v>71</v>
      </c>
      <c r="I212" s="4" t="s">
        <v>34</v>
      </c>
      <c r="J212" s="4" t="s">
        <v>25</v>
      </c>
      <c r="K212" s="3">
        <v>1808</v>
      </c>
      <c r="L212" s="5">
        <v>54</v>
      </c>
      <c r="M212" s="3">
        <v>97632</v>
      </c>
      <c r="N212" s="3">
        <f>AVERAGE(Mobile_Phone_Sales[[#This Row],[Total_Revenue]]/Mobile_Phone_Sales[[#This Row],[Units_Sold]])</f>
        <v>1808</v>
      </c>
      <c r="O212" s="4" t="s">
        <v>26</v>
      </c>
      <c r="P212" s="4" t="s">
        <v>36</v>
      </c>
      <c r="Q212" s="5">
        <v>60</v>
      </c>
      <c r="R212" s="4" t="s">
        <v>66</v>
      </c>
      <c r="S212" s="4" t="s">
        <v>29</v>
      </c>
      <c r="T212" s="4" t="s">
        <v>53</v>
      </c>
      <c r="U212" s="4" t="s">
        <v>100</v>
      </c>
    </row>
    <row r="213" spans="1:21" x14ac:dyDescent="0.25">
      <c r="A213" s="4" t="s">
        <v>310</v>
      </c>
      <c r="B213" s="1">
        <v>45530</v>
      </c>
      <c r="C213" s="4" t="s">
        <v>420</v>
      </c>
      <c r="D213" s="4" t="s">
        <v>407</v>
      </c>
      <c r="E213" s="1">
        <v>45535</v>
      </c>
      <c r="F213" s="4" t="s">
        <v>159</v>
      </c>
      <c r="G213" s="4" t="s">
        <v>103</v>
      </c>
      <c r="H213" s="4" t="s">
        <v>71</v>
      </c>
      <c r="I213" s="4" t="s">
        <v>72</v>
      </c>
      <c r="J213" s="4" t="s">
        <v>104</v>
      </c>
      <c r="K213" s="3">
        <v>465</v>
      </c>
      <c r="L213" s="5">
        <v>71</v>
      </c>
      <c r="M213" s="3">
        <v>33015</v>
      </c>
      <c r="N213" s="3">
        <f>AVERAGE(Mobile_Phone_Sales[[#This Row],[Total_Revenue]]/Mobile_Phone_Sales[[#This Row],[Units_Sold]])</f>
        <v>465</v>
      </c>
      <c r="O213" s="4" t="s">
        <v>26</v>
      </c>
      <c r="P213" s="4" t="s">
        <v>27</v>
      </c>
      <c r="Q213" s="5">
        <v>56</v>
      </c>
      <c r="R213" s="4" t="s">
        <v>37</v>
      </c>
      <c r="S213" s="4" t="s">
        <v>29</v>
      </c>
      <c r="T213" s="4" t="s">
        <v>68</v>
      </c>
      <c r="U213" s="4" t="s">
        <v>132</v>
      </c>
    </row>
    <row r="214" spans="1:21" x14ac:dyDescent="0.25">
      <c r="A214" s="4" t="s">
        <v>311</v>
      </c>
      <c r="B214" s="1">
        <v>45531</v>
      </c>
      <c r="C214" s="4" t="s">
        <v>420</v>
      </c>
      <c r="D214" s="4" t="s">
        <v>408</v>
      </c>
      <c r="E214" s="1">
        <v>45535</v>
      </c>
      <c r="F214" s="4" t="s">
        <v>96</v>
      </c>
      <c r="G214" s="4" t="s">
        <v>42</v>
      </c>
      <c r="H214" s="4" t="s">
        <v>23</v>
      </c>
      <c r="I214" s="4" t="s">
        <v>24</v>
      </c>
      <c r="J214" s="4" t="s">
        <v>25</v>
      </c>
      <c r="K214" s="3">
        <v>891</v>
      </c>
      <c r="L214" s="5">
        <v>84</v>
      </c>
      <c r="M214" s="3">
        <v>74844</v>
      </c>
      <c r="N214" s="3">
        <f>AVERAGE(Mobile_Phone_Sales[[#This Row],[Total_Revenue]]/Mobile_Phone_Sales[[#This Row],[Units_Sold]])</f>
        <v>891</v>
      </c>
      <c r="O214" s="4" t="s">
        <v>26</v>
      </c>
      <c r="P214" s="4" t="s">
        <v>27</v>
      </c>
      <c r="Q214" s="5">
        <v>39</v>
      </c>
      <c r="R214" s="4" t="s">
        <v>28</v>
      </c>
      <c r="S214" s="4" t="s">
        <v>29</v>
      </c>
      <c r="T214" s="4" t="s">
        <v>68</v>
      </c>
      <c r="U214" s="4" t="s">
        <v>69</v>
      </c>
    </row>
    <row r="215" spans="1:21" x14ac:dyDescent="0.25">
      <c r="A215" s="4" t="s">
        <v>312</v>
      </c>
      <c r="B215" s="1">
        <v>45532</v>
      </c>
      <c r="C215" s="4" t="s">
        <v>420</v>
      </c>
      <c r="D215" s="4" t="s">
        <v>409</v>
      </c>
      <c r="E215" s="1">
        <v>45535</v>
      </c>
      <c r="F215" s="4" t="s">
        <v>129</v>
      </c>
      <c r="G215" s="4" t="s">
        <v>103</v>
      </c>
      <c r="H215" s="4" t="s">
        <v>33</v>
      </c>
      <c r="I215" s="4" t="s">
        <v>72</v>
      </c>
      <c r="J215" s="4" t="s">
        <v>104</v>
      </c>
      <c r="K215" s="3">
        <v>1156</v>
      </c>
      <c r="L215" s="5">
        <v>73</v>
      </c>
      <c r="M215" s="3">
        <v>84388</v>
      </c>
      <c r="N215" s="3">
        <f>AVERAGE(Mobile_Phone_Sales[[#This Row],[Total_Revenue]]/Mobile_Phone_Sales[[#This Row],[Units_Sold]])</f>
        <v>1156</v>
      </c>
      <c r="O215" s="4" t="s">
        <v>35</v>
      </c>
      <c r="P215" s="4" t="s">
        <v>36</v>
      </c>
      <c r="Q215" s="5">
        <v>63</v>
      </c>
      <c r="R215" s="4" t="s">
        <v>66</v>
      </c>
      <c r="S215" s="4" t="s">
        <v>45</v>
      </c>
      <c r="T215" s="4" t="s">
        <v>68</v>
      </c>
      <c r="U215" s="4" t="s">
        <v>98</v>
      </c>
    </row>
    <row r="216" spans="1:21" x14ac:dyDescent="0.25">
      <c r="A216" s="4" t="s">
        <v>313</v>
      </c>
      <c r="B216" s="1">
        <v>45533</v>
      </c>
      <c r="C216" s="4" t="s">
        <v>420</v>
      </c>
      <c r="D216" s="4" t="s">
        <v>410</v>
      </c>
      <c r="E216" s="1">
        <v>45535</v>
      </c>
      <c r="F216" s="4" t="s">
        <v>116</v>
      </c>
      <c r="G216" s="4" t="s">
        <v>57</v>
      </c>
      <c r="H216" s="4" t="s">
        <v>33</v>
      </c>
      <c r="I216" s="4" t="s">
        <v>34</v>
      </c>
      <c r="J216" s="4" t="s">
        <v>25</v>
      </c>
      <c r="K216" s="3">
        <v>1286</v>
      </c>
      <c r="L216" s="5">
        <v>84</v>
      </c>
      <c r="M216" s="3">
        <v>108024</v>
      </c>
      <c r="N216" s="3">
        <f>AVERAGE(Mobile_Phone_Sales[[#This Row],[Total_Revenue]]/Mobile_Phone_Sales[[#This Row],[Units_Sold]])</f>
        <v>1286</v>
      </c>
      <c r="O216" s="4" t="s">
        <v>26</v>
      </c>
      <c r="P216" s="4" t="s">
        <v>51</v>
      </c>
      <c r="Q216" s="5">
        <v>26</v>
      </c>
      <c r="R216" s="4" t="s">
        <v>52</v>
      </c>
      <c r="S216" s="4" t="s">
        <v>29</v>
      </c>
      <c r="T216" s="4" t="s">
        <v>68</v>
      </c>
      <c r="U216" s="4" t="s">
        <v>91</v>
      </c>
    </row>
    <row r="217" spans="1:21" x14ac:dyDescent="0.25">
      <c r="A217" s="4" t="s">
        <v>314</v>
      </c>
      <c r="B217" s="1">
        <v>45534</v>
      </c>
      <c r="C217" s="4" t="s">
        <v>420</v>
      </c>
      <c r="D217" s="4" t="s">
        <v>411</v>
      </c>
      <c r="E217" s="1">
        <v>45535</v>
      </c>
      <c r="F217" s="4" t="s">
        <v>49</v>
      </c>
      <c r="G217" s="4" t="s">
        <v>50</v>
      </c>
      <c r="H217" s="4" t="s">
        <v>23</v>
      </c>
      <c r="I217" s="4" t="s">
        <v>34</v>
      </c>
      <c r="J217" s="4" t="s">
        <v>25</v>
      </c>
      <c r="K217" s="3">
        <v>301</v>
      </c>
      <c r="L217" s="5">
        <v>65</v>
      </c>
      <c r="M217" s="3">
        <v>19565</v>
      </c>
      <c r="N217" s="3">
        <f>AVERAGE(Mobile_Phone_Sales[[#This Row],[Total_Revenue]]/Mobile_Phone_Sales[[#This Row],[Units_Sold]])</f>
        <v>301</v>
      </c>
      <c r="O217" s="4" t="s">
        <v>35</v>
      </c>
      <c r="P217" s="4" t="s">
        <v>36</v>
      </c>
      <c r="Q217" s="5">
        <v>36</v>
      </c>
      <c r="R217" s="4" t="s">
        <v>28</v>
      </c>
      <c r="S217" s="4" t="s">
        <v>45</v>
      </c>
      <c r="T217" s="4" t="s">
        <v>53</v>
      </c>
      <c r="U217" s="4" t="s">
        <v>62</v>
      </c>
    </row>
    <row r="218" spans="1:21" x14ac:dyDescent="0.25">
      <c r="A218" s="4" t="s">
        <v>315</v>
      </c>
      <c r="B218" s="1">
        <v>45535</v>
      </c>
      <c r="C218" s="4" t="s">
        <v>420</v>
      </c>
      <c r="D218" s="4" t="s">
        <v>412</v>
      </c>
      <c r="E218" s="1">
        <v>45535</v>
      </c>
      <c r="F218" s="4" t="s">
        <v>75</v>
      </c>
      <c r="G218" s="4" t="s">
        <v>50</v>
      </c>
      <c r="H218" s="4" t="s">
        <v>71</v>
      </c>
      <c r="I218" s="4" t="s">
        <v>43</v>
      </c>
      <c r="J218" s="4" t="s">
        <v>25</v>
      </c>
      <c r="K218" s="3">
        <v>369</v>
      </c>
      <c r="L218" s="5">
        <v>81</v>
      </c>
      <c r="M218" s="3">
        <v>29889</v>
      </c>
      <c r="N218" s="3">
        <f>AVERAGE(Mobile_Phone_Sales[[#This Row],[Total_Revenue]]/Mobile_Phone_Sales[[#This Row],[Units_Sold]])</f>
        <v>369</v>
      </c>
      <c r="O218" s="4" t="s">
        <v>65</v>
      </c>
      <c r="P218" s="4" t="s">
        <v>51</v>
      </c>
      <c r="Q218" s="5">
        <v>40</v>
      </c>
      <c r="R218" s="4" t="s">
        <v>28</v>
      </c>
      <c r="S218" s="4" t="s">
        <v>45</v>
      </c>
      <c r="T218" s="4" t="s">
        <v>68</v>
      </c>
      <c r="U218" s="4" t="s">
        <v>88</v>
      </c>
    </row>
    <row r="219" spans="1:21" x14ac:dyDescent="0.25">
      <c r="A219" s="4" t="s">
        <v>316</v>
      </c>
      <c r="B219" s="1">
        <v>45536</v>
      </c>
      <c r="C219" s="4" t="s">
        <v>421</v>
      </c>
      <c r="D219" s="4" t="s">
        <v>413</v>
      </c>
      <c r="E219" s="1">
        <v>45565</v>
      </c>
      <c r="F219" s="4" t="s">
        <v>102</v>
      </c>
      <c r="G219" s="4" t="s">
        <v>103</v>
      </c>
      <c r="H219" s="4" t="s">
        <v>71</v>
      </c>
      <c r="I219" s="4" t="s">
        <v>72</v>
      </c>
      <c r="J219" s="4" t="s">
        <v>104</v>
      </c>
      <c r="K219" s="3">
        <v>1042</v>
      </c>
      <c r="L219" s="5">
        <v>19</v>
      </c>
      <c r="M219" s="3">
        <v>19798</v>
      </c>
      <c r="N219" s="3">
        <f>AVERAGE(Mobile_Phone_Sales[[#This Row],[Total_Revenue]]/Mobile_Phone_Sales[[#This Row],[Units_Sold]])</f>
        <v>1042</v>
      </c>
      <c r="O219" s="4" t="s">
        <v>35</v>
      </c>
      <c r="P219" s="4" t="s">
        <v>36</v>
      </c>
      <c r="Q219" s="5">
        <v>59</v>
      </c>
      <c r="R219" s="4" t="s">
        <v>66</v>
      </c>
      <c r="S219" s="4" t="s">
        <v>29</v>
      </c>
      <c r="T219" s="4" t="s">
        <v>53</v>
      </c>
      <c r="U219" s="4" t="s">
        <v>100</v>
      </c>
    </row>
    <row r="220" spans="1:21" x14ac:dyDescent="0.25">
      <c r="A220" s="4" t="s">
        <v>317</v>
      </c>
      <c r="B220" s="1">
        <v>45538</v>
      </c>
      <c r="C220" s="4" t="s">
        <v>421</v>
      </c>
      <c r="D220" s="4" t="s">
        <v>408</v>
      </c>
      <c r="E220" s="1">
        <v>45565</v>
      </c>
      <c r="F220" s="4" t="s">
        <v>49</v>
      </c>
      <c r="G220" s="4" t="s">
        <v>50</v>
      </c>
      <c r="H220" s="4" t="s">
        <v>23</v>
      </c>
      <c r="I220" s="4" t="s">
        <v>24</v>
      </c>
      <c r="J220" s="4" t="s">
        <v>25</v>
      </c>
      <c r="K220" s="3">
        <v>335</v>
      </c>
      <c r="L220" s="5">
        <v>70</v>
      </c>
      <c r="M220" s="3">
        <v>23450</v>
      </c>
      <c r="N220" s="3">
        <f>AVERAGE(Mobile_Phone_Sales[[#This Row],[Total_Revenue]]/Mobile_Phone_Sales[[#This Row],[Units_Sold]])</f>
        <v>335</v>
      </c>
      <c r="O220" s="4" t="s">
        <v>26</v>
      </c>
      <c r="P220" s="4" t="s">
        <v>36</v>
      </c>
      <c r="Q220" s="5">
        <v>23</v>
      </c>
      <c r="R220" s="4" t="s">
        <v>87</v>
      </c>
      <c r="S220" s="4" t="s">
        <v>45</v>
      </c>
      <c r="T220" s="4" t="s">
        <v>68</v>
      </c>
      <c r="U220" s="4" t="s">
        <v>91</v>
      </c>
    </row>
    <row r="221" spans="1:21" x14ac:dyDescent="0.25">
      <c r="A221" s="4" t="s">
        <v>318</v>
      </c>
      <c r="B221" s="1">
        <v>45539</v>
      </c>
      <c r="C221" s="4" t="s">
        <v>421</v>
      </c>
      <c r="D221" s="4" t="s">
        <v>409</v>
      </c>
      <c r="E221" s="1">
        <v>45565</v>
      </c>
      <c r="F221" s="4" t="s">
        <v>82</v>
      </c>
      <c r="G221" s="4" t="s">
        <v>50</v>
      </c>
      <c r="H221" s="4" t="s">
        <v>23</v>
      </c>
      <c r="I221" s="4" t="s">
        <v>58</v>
      </c>
      <c r="J221" s="4" t="s">
        <v>25</v>
      </c>
      <c r="K221" s="3">
        <v>546</v>
      </c>
      <c r="L221" s="5">
        <v>36</v>
      </c>
      <c r="M221" s="3">
        <v>19656</v>
      </c>
      <c r="N221" s="3">
        <f>AVERAGE(Mobile_Phone_Sales[[#This Row],[Total_Revenue]]/Mobile_Phone_Sales[[#This Row],[Units_Sold]])</f>
        <v>546</v>
      </c>
      <c r="O221" s="4" t="s">
        <v>65</v>
      </c>
      <c r="P221" s="4" t="s">
        <v>27</v>
      </c>
      <c r="Q221" s="5">
        <v>20</v>
      </c>
      <c r="R221" s="4" t="s">
        <v>87</v>
      </c>
      <c r="S221" s="4" t="s">
        <v>29</v>
      </c>
      <c r="T221" s="4" t="s">
        <v>46</v>
      </c>
      <c r="U221" s="4" t="s">
        <v>76</v>
      </c>
    </row>
    <row r="222" spans="1:21" x14ac:dyDescent="0.25">
      <c r="A222" s="4" t="s">
        <v>319</v>
      </c>
      <c r="B222" s="1">
        <v>45540</v>
      </c>
      <c r="C222" s="4" t="s">
        <v>421</v>
      </c>
      <c r="D222" s="4" t="s">
        <v>410</v>
      </c>
      <c r="E222" s="1">
        <v>45565</v>
      </c>
      <c r="F222" s="4" t="s">
        <v>78</v>
      </c>
      <c r="G222" s="4" t="s">
        <v>22</v>
      </c>
      <c r="H222" s="4" t="s">
        <v>71</v>
      </c>
      <c r="I222" s="4" t="s">
        <v>58</v>
      </c>
      <c r="J222" s="4" t="s">
        <v>25</v>
      </c>
      <c r="K222" s="3">
        <v>789</v>
      </c>
      <c r="L222" s="5">
        <v>47</v>
      </c>
      <c r="M222" s="3">
        <v>37083</v>
      </c>
      <c r="N222" s="3">
        <f>AVERAGE(Mobile_Phone_Sales[[#This Row],[Total_Revenue]]/Mobile_Phone_Sales[[#This Row],[Units_Sold]])</f>
        <v>789</v>
      </c>
      <c r="O222" s="4" t="s">
        <v>65</v>
      </c>
      <c r="P222" s="4" t="s">
        <v>27</v>
      </c>
      <c r="Q222" s="5">
        <v>23</v>
      </c>
      <c r="R222" s="4" t="s">
        <v>87</v>
      </c>
      <c r="S222" s="4" t="s">
        <v>45</v>
      </c>
      <c r="T222" s="4" t="s">
        <v>68</v>
      </c>
      <c r="U222" s="4" t="s">
        <v>83</v>
      </c>
    </row>
    <row r="223" spans="1:21" x14ac:dyDescent="0.25">
      <c r="A223" s="4" t="s">
        <v>320</v>
      </c>
      <c r="B223" s="1">
        <v>45541</v>
      </c>
      <c r="C223" s="4" t="s">
        <v>421</v>
      </c>
      <c r="D223" s="4" t="s">
        <v>411</v>
      </c>
      <c r="E223" s="1">
        <v>45565</v>
      </c>
      <c r="F223" s="4" t="s">
        <v>146</v>
      </c>
      <c r="G223" s="4" t="s">
        <v>57</v>
      </c>
      <c r="H223" s="4" t="s">
        <v>71</v>
      </c>
      <c r="I223" s="4" t="s">
        <v>58</v>
      </c>
      <c r="J223" s="4" t="s">
        <v>25</v>
      </c>
      <c r="K223" s="3">
        <v>459</v>
      </c>
      <c r="L223" s="5">
        <v>34</v>
      </c>
      <c r="M223" s="3">
        <v>15606</v>
      </c>
      <c r="N223" s="3">
        <f>AVERAGE(Mobile_Phone_Sales[[#This Row],[Total_Revenue]]/Mobile_Phone_Sales[[#This Row],[Units_Sold]])</f>
        <v>459</v>
      </c>
      <c r="O223" s="4" t="s">
        <v>26</v>
      </c>
      <c r="P223" s="4" t="s">
        <v>27</v>
      </c>
      <c r="Q223" s="5">
        <v>32</v>
      </c>
      <c r="R223" s="4" t="s">
        <v>52</v>
      </c>
      <c r="S223" s="4" t="s">
        <v>29</v>
      </c>
      <c r="T223" s="4" t="s">
        <v>46</v>
      </c>
      <c r="U223" s="4" t="s">
        <v>60</v>
      </c>
    </row>
    <row r="224" spans="1:21" x14ac:dyDescent="0.25">
      <c r="A224" s="4" t="s">
        <v>321</v>
      </c>
      <c r="B224" s="1">
        <v>45542</v>
      </c>
      <c r="C224" s="4" t="s">
        <v>421</v>
      </c>
      <c r="D224" s="4" t="s">
        <v>412</v>
      </c>
      <c r="E224" s="1">
        <v>45565</v>
      </c>
      <c r="F224" s="4" t="s">
        <v>75</v>
      </c>
      <c r="G224" s="4" t="s">
        <v>50</v>
      </c>
      <c r="H224" s="4" t="s">
        <v>71</v>
      </c>
      <c r="I224" s="4" t="s">
        <v>58</v>
      </c>
      <c r="J224" s="4" t="s">
        <v>25</v>
      </c>
      <c r="K224" s="3">
        <v>395</v>
      </c>
      <c r="L224" s="5">
        <v>37</v>
      </c>
      <c r="M224" s="3">
        <v>14615</v>
      </c>
      <c r="N224" s="3">
        <f>AVERAGE(Mobile_Phone_Sales[[#This Row],[Total_Revenue]]/Mobile_Phone_Sales[[#This Row],[Units_Sold]])</f>
        <v>395</v>
      </c>
      <c r="O224" s="4" t="s">
        <v>26</v>
      </c>
      <c r="P224" s="4" t="s">
        <v>27</v>
      </c>
      <c r="Q224" s="5">
        <v>46</v>
      </c>
      <c r="R224" s="4" t="s">
        <v>59</v>
      </c>
      <c r="S224" s="4" t="s">
        <v>45</v>
      </c>
      <c r="T224" s="4" t="s">
        <v>30</v>
      </c>
      <c r="U224" s="4" t="s">
        <v>266</v>
      </c>
    </row>
    <row r="225" spans="1:21" x14ac:dyDescent="0.25">
      <c r="A225" s="4" t="s">
        <v>322</v>
      </c>
      <c r="B225" s="1">
        <v>45543</v>
      </c>
      <c r="C225" s="4" t="s">
        <v>421</v>
      </c>
      <c r="D225" s="4" t="s">
        <v>413</v>
      </c>
      <c r="E225" s="1">
        <v>45565</v>
      </c>
      <c r="F225" s="4" t="s">
        <v>102</v>
      </c>
      <c r="G225" s="4" t="s">
        <v>103</v>
      </c>
      <c r="H225" s="4" t="s">
        <v>71</v>
      </c>
      <c r="I225" s="4" t="s">
        <v>58</v>
      </c>
      <c r="J225" s="4" t="s">
        <v>104</v>
      </c>
      <c r="K225" s="3">
        <v>1063</v>
      </c>
      <c r="L225" s="5">
        <v>21</v>
      </c>
      <c r="M225" s="3">
        <v>22323</v>
      </c>
      <c r="N225" s="3">
        <f>AVERAGE(Mobile_Phone_Sales[[#This Row],[Total_Revenue]]/Mobile_Phone_Sales[[#This Row],[Units_Sold]])</f>
        <v>1063</v>
      </c>
      <c r="O225" s="4" t="s">
        <v>26</v>
      </c>
      <c r="P225" s="4" t="s">
        <v>36</v>
      </c>
      <c r="Q225" s="5">
        <v>28</v>
      </c>
      <c r="R225" s="4" t="s">
        <v>52</v>
      </c>
      <c r="S225" s="4" t="s">
        <v>29</v>
      </c>
      <c r="T225" s="4" t="s">
        <v>68</v>
      </c>
      <c r="U225" s="4" t="s">
        <v>195</v>
      </c>
    </row>
    <row r="226" spans="1:21" x14ac:dyDescent="0.25">
      <c r="A226" s="4" t="s">
        <v>323</v>
      </c>
      <c r="B226" s="1">
        <v>45544</v>
      </c>
      <c r="C226" s="4" t="s">
        <v>421</v>
      </c>
      <c r="D226" s="4" t="s">
        <v>407</v>
      </c>
      <c r="E226" s="1">
        <v>45565</v>
      </c>
      <c r="F226" s="4" t="s">
        <v>21</v>
      </c>
      <c r="G226" s="4" t="s">
        <v>22</v>
      </c>
      <c r="H226" s="4" t="s">
        <v>33</v>
      </c>
      <c r="I226" s="4" t="s">
        <v>43</v>
      </c>
      <c r="J226" s="4" t="s">
        <v>25</v>
      </c>
      <c r="K226" s="3">
        <v>535</v>
      </c>
      <c r="L226" s="5">
        <v>11</v>
      </c>
      <c r="M226" s="3">
        <v>5885</v>
      </c>
      <c r="N226" s="3">
        <f>AVERAGE(Mobile_Phone_Sales[[#This Row],[Total_Revenue]]/Mobile_Phone_Sales[[#This Row],[Units_Sold]])</f>
        <v>535</v>
      </c>
      <c r="O226" s="4" t="s">
        <v>26</v>
      </c>
      <c r="P226" s="4" t="s">
        <v>36</v>
      </c>
      <c r="Q226" s="5">
        <v>43</v>
      </c>
      <c r="R226" s="4" t="s">
        <v>59</v>
      </c>
      <c r="S226" s="4" t="s">
        <v>29</v>
      </c>
      <c r="T226" s="4" t="s">
        <v>30</v>
      </c>
      <c r="U226" s="4" t="s">
        <v>31</v>
      </c>
    </row>
    <row r="227" spans="1:21" x14ac:dyDescent="0.25">
      <c r="A227" s="4" t="s">
        <v>324</v>
      </c>
      <c r="B227" s="1">
        <v>45546</v>
      </c>
      <c r="C227" s="4" t="s">
        <v>421</v>
      </c>
      <c r="D227" s="4" t="s">
        <v>409</v>
      </c>
      <c r="E227" s="1">
        <v>45565</v>
      </c>
      <c r="F227" s="4" t="s">
        <v>80</v>
      </c>
      <c r="G227" s="4" t="s">
        <v>42</v>
      </c>
      <c r="H227" s="4" t="s">
        <v>71</v>
      </c>
      <c r="I227" s="4" t="s">
        <v>24</v>
      </c>
      <c r="J227" s="4" t="s">
        <v>25</v>
      </c>
      <c r="K227" s="3">
        <v>538</v>
      </c>
      <c r="L227" s="5">
        <v>67</v>
      </c>
      <c r="M227" s="3">
        <v>36046</v>
      </c>
      <c r="N227" s="3">
        <f>AVERAGE(Mobile_Phone_Sales[[#This Row],[Total_Revenue]]/Mobile_Phone_Sales[[#This Row],[Units_Sold]])</f>
        <v>538</v>
      </c>
      <c r="O227" s="4" t="s">
        <v>65</v>
      </c>
      <c r="P227" s="4" t="s">
        <v>44</v>
      </c>
      <c r="Q227" s="5">
        <v>64</v>
      </c>
      <c r="R227" s="4" t="s">
        <v>66</v>
      </c>
      <c r="S227" s="4" t="s">
        <v>45</v>
      </c>
      <c r="T227" s="4" t="s">
        <v>46</v>
      </c>
      <c r="U227" s="4" t="s">
        <v>76</v>
      </c>
    </row>
    <row r="228" spans="1:21" x14ac:dyDescent="0.25">
      <c r="A228" s="4" t="s">
        <v>325</v>
      </c>
      <c r="B228" s="1">
        <v>45547</v>
      </c>
      <c r="C228" s="4" t="s">
        <v>421</v>
      </c>
      <c r="D228" s="4" t="s">
        <v>410</v>
      </c>
      <c r="E228" s="1">
        <v>45565</v>
      </c>
      <c r="F228" s="4" t="s">
        <v>85</v>
      </c>
      <c r="G228" s="4" t="s">
        <v>22</v>
      </c>
      <c r="H228" s="4" t="s">
        <v>23</v>
      </c>
      <c r="I228" s="4" t="s">
        <v>58</v>
      </c>
      <c r="J228" s="4" t="s">
        <v>25</v>
      </c>
      <c r="K228" s="3">
        <v>1048</v>
      </c>
      <c r="L228" s="5">
        <v>87</v>
      </c>
      <c r="M228" s="3">
        <v>91176</v>
      </c>
      <c r="N228" s="3">
        <f>AVERAGE(Mobile_Phone_Sales[[#This Row],[Total_Revenue]]/Mobile_Phone_Sales[[#This Row],[Units_Sold]])</f>
        <v>1048</v>
      </c>
      <c r="O228" s="4" t="s">
        <v>26</v>
      </c>
      <c r="P228" s="4" t="s">
        <v>44</v>
      </c>
      <c r="Q228" s="5">
        <v>35</v>
      </c>
      <c r="R228" s="4" t="s">
        <v>28</v>
      </c>
      <c r="S228" s="4" t="s">
        <v>45</v>
      </c>
      <c r="T228" s="4" t="s">
        <v>53</v>
      </c>
      <c r="U228" s="4" t="s">
        <v>54</v>
      </c>
    </row>
    <row r="229" spans="1:21" x14ac:dyDescent="0.25">
      <c r="A229" s="4" t="s">
        <v>326</v>
      </c>
      <c r="B229" s="1">
        <v>45549</v>
      </c>
      <c r="C229" s="4" t="s">
        <v>421</v>
      </c>
      <c r="D229" s="4" t="s">
        <v>412</v>
      </c>
      <c r="E229" s="1">
        <v>45565</v>
      </c>
      <c r="F229" s="4" t="s">
        <v>80</v>
      </c>
      <c r="G229" s="4" t="s">
        <v>42</v>
      </c>
      <c r="H229" s="4" t="s">
        <v>23</v>
      </c>
      <c r="I229" s="4" t="s">
        <v>72</v>
      </c>
      <c r="J229" s="4" t="s">
        <v>25</v>
      </c>
      <c r="K229" s="3">
        <v>592</v>
      </c>
      <c r="L229" s="5">
        <v>39</v>
      </c>
      <c r="M229" s="3">
        <v>23088</v>
      </c>
      <c r="N229" s="3">
        <f>AVERAGE(Mobile_Phone_Sales[[#This Row],[Total_Revenue]]/Mobile_Phone_Sales[[#This Row],[Units_Sold]])</f>
        <v>592</v>
      </c>
      <c r="O229" s="4" t="s">
        <v>26</v>
      </c>
      <c r="P229" s="4" t="s">
        <v>44</v>
      </c>
      <c r="Q229" s="5">
        <v>18</v>
      </c>
      <c r="R229" s="4" t="s">
        <v>87</v>
      </c>
      <c r="S229" s="4" t="s">
        <v>45</v>
      </c>
      <c r="T229" s="4" t="s">
        <v>46</v>
      </c>
      <c r="U229" s="4" t="s">
        <v>60</v>
      </c>
    </row>
    <row r="230" spans="1:21" x14ac:dyDescent="0.25">
      <c r="A230" s="4" t="s">
        <v>327</v>
      </c>
      <c r="B230" s="1">
        <v>45553</v>
      </c>
      <c r="C230" s="4" t="s">
        <v>421</v>
      </c>
      <c r="D230" s="4" t="s">
        <v>409</v>
      </c>
      <c r="E230" s="1">
        <v>45565</v>
      </c>
      <c r="F230" s="4" t="s">
        <v>80</v>
      </c>
      <c r="G230" s="4" t="s">
        <v>42</v>
      </c>
      <c r="H230" s="4" t="s">
        <v>71</v>
      </c>
      <c r="I230" s="4" t="s">
        <v>43</v>
      </c>
      <c r="J230" s="4" t="s">
        <v>25</v>
      </c>
      <c r="K230" s="3">
        <v>583</v>
      </c>
      <c r="L230" s="5">
        <v>44</v>
      </c>
      <c r="M230" s="3">
        <v>25652</v>
      </c>
      <c r="N230" s="3">
        <f>AVERAGE(Mobile_Phone_Sales[[#This Row],[Total_Revenue]]/Mobile_Phone_Sales[[#This Row],[Units_Sold]])</f>
        <v>583</v>
      </c>
      <c r="O230" s="4" t="s">
        <v>26</v>
      </c>
      <c r="P230" s="4" t="s">
        <v>51</v>
      </c>
      <c r="Q230" s="5">
        <v>28</v>
      </c>
      <c r="R230" s="4" t="s">
        <v>52</v>
      </c>
      <c r="S230" s="4" t="s">
        <v>45</v>
      </c>
      <c r="T230" s="4" t="s">
        <v>68</v>
      </c>
      <c r="U230" s="4" t="s">
        <v>170</v>
      </c>
    </row>
    <row r="231" spans="1:21" x14ac:dyDescent="0.25">
      <c r="A231" s="4" t="s">
        <v>328</v>
      </c>
      <c r="B231" s="1">
        <v>45555</v>
      </c>
      <c r="C231" s="4" t="s">
        <v>421</v>
      </c>
      <c r="D231" s="4" t="s">
        <v>411</v>
      </c>
      <c r="E231" s="1">
        <v>45565</v>
      </c>
      <c r="F231" s="4" t="s">
        <v>96</v>
      </c>
      <c r="G231" s="4" t="s">
        <v>42</v>
      </c>
      <c r="H231" s="4" t="s">
        <v>71</v>
      </c>
      <c r="I231" s="4" t="s">
        <v>58</v>
      </c>
      <c r="J231" s="4" t="s">
        <v>25</v>
      </c>
      <c r="K231" s="3">
        <v>835</v>
      </c>
      <c r="L231" s="5">
        <v>94</v>
      </c>
      <c r="M231" s="3">
        <v>78490</v>
      </c>
      <c r="N231" s="3">
        <f>AVERAGE(Mobile_Phone_Sales[[#This Row],[Total_Revenue]]/Mobile_Phone_Sales[[#This Row],[Units_Sold]])</f>
        <v>835</v>
      </c>
      <c r="O231" s="4" t="s">
        <v>26</v>
      </c>
      <c r="P231" s="4" t="s">
        <v>27</v>
      </c>
      <c r="Q231" s="5">
        <v>23</v>
      </c>
      <c r="R231" s="4" t="s">
        <v>87</v>
      </c>
      <c r="S231" s="4" t="s">
        <v>45</v>
      </c>
      <c r="T231" s="4" t="s">
        <v>68</v>
      </c>
      <c r="U231" s="4" t="s">
        <v>91</v>
      </c>
    </row>
    <row r="232" spans="1:21" x14ac:dyDescent="0.25">
      <c r="A232" s="4" t="s">
        <v>329</v>
      </c>
      <c r="B232" s="1">
        <v>45556</v>
      </c>
      <c r="C232" s="4" t="s">
        <v>421</v>
      </c>
      <c r="D232" s="4" t="s">
        <v>412</v>
      </c>
      <c r="E232" s="1">
        <v>45565</v>
      </c>
      <c r="F232" s="4" t="s">
        <v>82</v>
      </c>
      <c r="G232" s="4" t="s">
        <v>50</v>
      </c>
      <c r="H232" s="4" t="s">
        <v>71</v>
      </c>
      <c r="I232" s="4" t="s">
        <v>58</v>
      </c>
      <c r="J232" s="4" t="s">
        <v>25</v>
      </c>
      <c r="K232" s="3">
        <v>518</v>
      </c>
      <c r="L232" s="5">
        <v>24</v>
      </c>
      <c r="M232" s="3">
        <v>12432</v>
      </c>
      <c r="N232" s="3">
        <f>AVERAGE(Mobile_Phone_Sales[[#This Row],[Total_Revenue]]/Mobile_Phone_Sales[[#This Row],[Units_Sold]])</f>
        <v>518</v>
      </c>
      <c r="O232" s="4" t="s">
        <v>65</v>
      </c>
      <c r="P232" s="4" t="s">
        <v>51</v>
      </c>
      <c r="Q232" s="5">
        <v>40</v>
      </c>
      <c r="R232" s="4" t="s">
        <v>28</v>
      </c>
      <c r="S232" s="4" t="s">
        <v>45</v>
      </c>
      <c r="T232" s="4" t="s">
        <v>68</v>
      </c>
      <c r="U232" s="4" t="s">
        <v>170</v>
      </c>
    </row>
    <row r="233" spans="1:21" x14ac:dyDescent="0.25">
      <c r="A233" s="4" t="s">
        <v>330</v>
      </c>
      <c r="B233" s="1">
        <v>45557</v>
      </c>
      <c r="C233" s="4" t="s">
        <v>421</v>
      </c>
      <c r="D233" s="4" t="s">
        <v>413</v>
      </c>
      <c r="E233" s="1">
        <v>45565</v>
      </c>
      <c r="F233" s="4" t="s">
        <v>159</v>
      </c>
      <c r="G233" s="4" t="s">
        <v>103</v>
      </c>
      <c r="H233" s="4" t="s">
        <v>33</v>
      </c>
      <c r="I233" s="4" t="s">
        <v>24</v>
      </c>
      <c r="J233" s="4" t="s">
        <v>104</v>
      </c>
      <c r="K233" s="3">
        <v>429</v>
      </c>
      <c r="L233" s="5">
        <v>46</v>
      </c>
      <c r="M233" s="3">
        <v>19734</v>
      </c>
      <c r="N233" s="3">
        <f>AVERAGE(Mobile_Phone_Sales[[#This Row],[Total_Revenue]]/Mobile_Phone_Sales[[#This Row],[Units_Sold]])</f>
        <v>429</v>
      </c>
      <c r="O233" s="4" t="s">
        <v>65</v>
      </c>
      <c r="P233" s="4" t="s">
        <v>44</v>
      </c>
      <c r="Q233" s="5">
        <v>52</v>
      </c>
      <c r="R233" s="4" t="s">
        <v>37</v>
      </c>
      <c r="S233" s="4" t="s">
        <v>29</v>
      </c>
      <c r="T233" s="4" t="s">
        <v>68</v>
      </c>
      <c r="U233" s="4" t="s">
        <v>69</v>
      </c>
    </row>
    <row r="234" spans="1:21" x14ac:dyDescent="0.25">
      <c r="A234" s="4" t="s">
        <v>331</v>
      </c>
      <c r="B234" s="1">
        <v>45558</v>
      </c>
      <c r="C234" s="4" t="s">
        <v>421</v>
      </c>
      <c r="D234" s="4" t="s">
        <v>407</v>
      </c>
      <c r="E234" s="1">
        <v>45565</v>
      </c>
      <c r="F234" s="4" t="s">
        <v>21</v>
      </c>
      <c r="G234" s="4" t="s">
        <v>22</v>
      </c>
      <c r="H234" s="4" t="s">
        <v>23</v>
      </c>
      <c r="I234" s="4" t="s">
        <v>34</v>
      </c>
      <c r="J234" s="4" t="s">
        <v>25</v>
      </c>
      <c r="K234" s="3">
        <v>520</v>
      </c>
      <c r="L234" s="5">
        <v>6</v>
      </c>
      <c r="M234" s="3">
        <v>3120</v>
      </c>
      <c r="N234" s="3">
        <f>AVERAGE(Mobile_Phone_Sales[[#This Row],[Total_Revenue]]/Mobile_Phone_Sales[[#This Row],[Units_Sold]])</f>
        <v>520</v>
      </c>
      <c r="O234" s="4" t="s">
        <v>26</v>
      </c>
      <c r="P234" s="4" t="s">
        <v>27</v>
      </c>
      <c r="Q234" s="5">
        <v>34</v>
      </c>
      <c r="R234" s="4" t="s">
        <v>28</v>
      </c>
      <c r="S234" s="4" t="s">
        <v>45</v>
      </c>
      <c r="T234" s="4" t="s">
        <v>46</v>
      </c>
      <c r="U234" s="4" t="s">
        <v>111</v>
      </c>
    </row>
    <row r="235" spans="1:21" x14ac:dyDescent="0.25">
      <c r="A235" s="4" t="s">
        <v>332</v>
      </c>
      <c r="B235" s="1">
        <v>45559</v>
      </c>
      <c r="C235" s="4" t="s">
        <v>421</v>
      </c>
      <c r="D235" s="4" t="s">
        <v>408</v>
      </c>
      <c r="E235" s="1">
        <v>45565</v>
      </c>
      <c r="F235" s="4" t="s">
        <v>159</v>
      </c>
      <c r="G235" s="4" t="s">
        <v>103</v>
      </c>
      <c r="H235" s="4" t="s">
        <v>33</v>
      </c>
      <c r="I235" s="4" t="s">
        <v>34</v>
      </c>
      <c r="J235" s="4" t="s">
        <v>104</v>
      </c>
      <c r="K235" s="3">
        <v>459</v>
      </c>
      <c r="L235" s="5">
        <v>33</v>
      </c>
      <c r="M235" s="3">
        <v>15147</v>
      </c>
      <c r="N235" s="3">
        <f>AVERAGE(Mobile_Phone_Sales[[#This Row],[Total_Revenue]]/Mobile_Phone_Sales[[#This Row],[Units_Sold]])</f>
        <v>459</v>
      </c>
      <c r="O235" s="4" t="s">
        <v>26</v>
      </c>
      <c r="P235" s="4" t="s">
        <v>51</v>
      </c>
      <c r="Q235" s="5">
        <v>22</v>
      </c>
      <c r="R235" s="4" t="s">
        <v>87</v>
      </c>
      <c r="S235" s="4" t="s">
        <v>38</v>
      </c>
      <c r="T235" s="4" t="s">
        <v>53</v>
      </c>
      <c r="U235" s="4" t="s">
        <v>54</v>
      </c>
    </row>
    <row r="236" spans="1:21" x14ac:dyDescent="0.25">
      <c r="A236" s="4" t="s">
        <v>333</v>
      </c>
      <c r="B236" s="1">
        <v>45561</v>
      </c>
      <c r="C236" s="4" t="s">
        <v>421</v>
      </c>
      <c r="D236" s="4" t="s">
        <v>410</v>
      </c>
      <c r="E236" s="1">
        <v>45565</v>
      </c>
      <c r="F236" s="4" t="s">
        <v>49</v>
      </c>
      <c r="G236" s="4" t="s">
        <v>50</v>
      </c>
      <c r="H236" s="4" t="s">
        <v>23</v>
      </c>
      <c r="I236" s="4" t="s">
        <v>58</v>
      </c>
      <c r="J236" s="4" t="s">
        <v>25</v>
      </c>
      <c r="K236" s="3">
        <v>335</v>
      </c>
      <c r="L236" s="5">
        <v>95</v>
      </c>
      <c r="M236" s="3">
        <v>31825</v>
      </c>
      <c r="N236" s="3">
        <f>AVERAGE(Mobile_Phone_Sales[[#This Row],[Total_Revenue]]/Mobile_Phone_Sales[[#This Row],[Units_Sold]])</f>
        <v>335</v>
      </c>
      <c r="O236" s="4" t="s">
        <v>35</v>
      </c>
      <c r="P236" s="4" t="s">
        <v>44</v>
      </c>
      <c r="Q236" s="5">
        <v>46</v>
      </c>
      <c r="R236" s="4" t="s">
        <v>59</v>
      </c>
      <c r="S236" s="4" t="s">
        <v>45</v>
      </c>
      <c r="T236" s="4" t="s">
        <v>68</v>
      </c>
      <c r="U236" s="4" t="s">
        <v>121</v>
      </c>
    </row>
    <row r="237" spans="1:21" x14ac:dyDescent="0.25">
      <c r="A237" s="4" t="s">
        <v>334</v>
      </c>
      <c r="B237" s="1">
        <v>45562</v>
      </c>
      <c r="C237" s="4" t="s">
        <v>421</v>
      </c>
      <c r="D237" s="4" t="s">
        <v>411</v>
      </c>
      <c r="E237" s="1">
        <v>45565</v>
      </c>
      <c r="F237" s="4" t="s">
        <v>75</v>
      </c>
      <c r="G237" s="4" t="s">
        <v>50</v>
      </c>
      <c r="H237" s="4" t="s">
        <v>33</v>
      </c>
      <c r="I237" s="4" t="s">
        <v>34</v>
      </c>
      <c r="J237" s="4" t="s">
        <v>25</v>
      </c>
      <c r="K237" s="3">
        <v>357</v>
      </c>
      <c r="L237" s="5">
        <v>67</v>
      </c>
      <c r="M237" s="3">
        <v>23919</v>
      </c>
      <c r="N237" s="3">
        <f>AVERAGE(Mobile_Phone_Sales[[#This Row],[Total_Revenue]]/Mobile_Phone_Sales[[#This Row],[Units_Sold]])</f>
        <v>357</v>
      </c>
      <c r="O237" s="4" t="s">
        <v>65</v>
      </c>
      <c r="P237" s="4" t="s">
        <v>36</v>
      </c>
      <c r="Q237" s="5">
        <v>34</v>
      </c>
      <c r="R237" s="4" t="s">
        <v>28</v>
      </c>
      <c r="S237" s="4" t="s">
        <v>45</v>
      </c>
      <c r="T237" s="4" t="s">
        <v>30</v>
      </c>
      <c r="U237" s="4" t="s">
        <v>202</v>
      </c>
    </row>
    <row r="238" spans="1:21" x14ac:dyDescent="0.25">
      <c r="A238" s="4" t="s">
        <v>335</v>
      </c>
      <c r="B238" s="1">
        <v>45563</v>
      </c>
      <c r="C238" s="4" t="s">
        <v>421</v>
      </c>
      <c r="D238" s="4" t="s">
        <v>412</v>
      </c>
      <c r="E238" s="1">
        <v>45565</v>
      </c>
      <c r="F238" s="4" t="s">
        <v>129</v>
      </c>
      <c r="G238" s="4" t="s">
        <v>103</v>
      </c>
      <c r="H238" s="4" t="s">
        <v>23</v>
      </c>
      <c r="I238" s="4" t="s">
        <v>24</v>
      </c>
      <c r="J238" s="4" t="s">
        <v>104</v>
      </c>
      <c r="K238" s="3">
        <v>1189</v>
      </c>
      <c r="L238" s="5">
        <v>40</v>
      </c>
      <c r="M238" s="3">
        <v>47560</v>
      </c>
      <c r="N238" s="3">
        <f>AVERAGE(Mobile_Phone_Sales[[#This Row],[Total_Revenue]]/Mobile_Phone_Sales[[#This Row],[Units_Sold]])</f>
        <v>1189</v>
      </c>
      <c r="O238" s="4" t="s">
        <v>35</v>
      </c>
      <c r="P238" s="4" t="s">
        <v>44</v>
      </c>
      <c r="Q238" s="5">
        <v>19</v>
      </c>
      <c r="R238" s="4" t="s">
        <v>87</v>
      </c>
      <c r="S238" s="4" t="s">
        <v>29</v>
      </c>
      <c r="T238" s="4" t="s">
        <v>68</v>
      </c>
      <c r="U238" s="4" t="s">
        <v>69</v>
      </c>
    </row>
    <row r="239" spans="1:21" x14ac:dyDescent="0.25">
      <c r="A239" s="4" t="s">
        <v>336</v>
      </c>
      <c r="B239" s="1">
        <v>45564</v>
      </c>
      <c r="C239" s="4" t="s">
        <v>421</v>
      </c>
      <c r="D239" s="4" t="s">
        <v>413</v>
      </c>
      <c r="E239" s="1">
        <v>45565</v>
      </c>
      <c r="F239" s="4" t="s">
        <v>56</v>
      </c>
      <c r="G239" s="4" t="s">
        <v>57</v>
      </c>
      <c r="H239" s="4" t="s">
        <v>33</v>
      </c>
      <c r="I239" s="4" t="s">
        <v>24</v>
      </c>
      <c r="J239" s="4" t="s">
        <v>25</v>
      </c>
      <c r="K239" s="3">
        <v>1815</v>
      </c>
      <c r="L239" s="5">
        <v>59</v>
      </c>
      <c r="M239" s="3">
        <v>107085</v>
      </c>
      <c r="N239" s="3">
        <f>AVERAGE(Mobile_Phone_Sales[[#This Row],[Total_Revenue]]/Mobile_Phone_Sales[[#This Row],[Units_Sold]])</f>
        <v>1815</v>
      </c>
      <c r="O239" s="4" t="s">
        <v>26</v>
      </c>
      <c r="P239" s="4" t="s">
        <v>51</v>
      </c>
      <c r="Q239" s="5">
        <v>45</v>
      </c>
      <c r="R239" s="4" t="s">
        <v>59</v>
      </c>
      <c r="S239" s="4" t="s">
        <v>38</v>
      </c>
      <c r="T239" s="4" t="s">
        <v>68</v>
      </c>
      <c r="U239" s="4" t="s">
        <v>98</v>
      </c>
    </row>
    <row r="240" spans="1:21" x14ac:dyDescent="0.25">
      <c r="A240" s="4" t="s">
        <v>337</v>
      </c>
      <c r="B240" s="1">
        <v>45565</v>
      </c>
      <c r="C240" s="4" t="s">
        <v>421</v>
      </c>
      <c r="D240" s="4" t="s">
        <v>407</v>
      </c>
      <c r="E240" s="1">
        <v>45565</v>
      </c>
      <c r="F240" s="4" t="s">
        <v>21</v>
      </c>
      <c r="G240" s="4" t="s">
        <v>22</v>
      </c>
      <c r="H240" s="4" t="s">
        <v>33</v>
      </c>
      <c r="I240" s="4" t="s">
        <v>34</v>
      </c>
      <c r="J240" s="4" t="s">
        <v>25</v>
      </c>
      <c r="K240" s="3">
        <v>520</v>
      </c>
      <c r="L240" s="5">
        <v>6</v>
      </c>
      <c r="M240" s="3">
        <v>3120</v>
      </c>
      <c r="N240" s="3">
        <f>AVERAGE(Mobile_Phone_Sales[[#This Row],[Total_Revenue]]/Mobile_Phone_Sales[[#This Row],[Units_Sold]])</f>
        <v>520</v>
      </c>
      <c r="O240" s="4" t="s">
        <v>26</v>
      </c>
      <c r="P240" s="4" t="s">
        <v>27</v>
      </c>
      <c r="Q240" s="5">
        <v>30</v>
      </c>
      <c r="R240" s="4" t="s">
        <v>52</v>
      </c>
      <c r="S240" s="4" t="s">
        <v>45</v>
      </c>
      <c r="T240" s="4" t="s">
        <v>53</v>
      </c>
      <c r="U240" s="4" t="s">
        <v>100</v>
      </c>
    </row>
    <row r="241" spans="1:21" x14ac:dyDescent="0.25">
      <c r="A241" s="4" t="s">
        <v>338</v>
      </c>
      <c r="B241" s="1">
        <v>45567</v>
      </c>
      <c r="C241" s="4" t="s">
        <v>422</v>
      </c>
      <c r="D241" s="4" t="s">
        <v>409</v>
      </c>
      <c r="E241" s="1">
        <v>45596</v>
      </c>
      <c r="F241" s="4" t="s">
        <v>85</v>
      </c>
      <c r="G241" s="4" t="s">
        <v>22</v>
      </c>
      <c r="H241" s="4" t="s">
        <v>33</v>
      </c>
      <c r="I241" s="4" t="s">
        <v>58</v>
      </c>
      <c r="J241" s="4" t="s">
        <v>25</v>
      </c>
      <c r="K241" s="3">
        <v>1029</v>
      </c>
      <c r="L241" s="5">
        <v>71</v>
      </c>
      <c r="M241" s="3">
        <v>73059</v>
      </c>
      <c r="N241" s="3">
        <f>AVERAGE(Mobile_Phone_Sales[[#This Row],[Total_Revenue]]/Mobile_Phone_Sales[[#This Row],[Units_Sold]])</f>
        <v>1029</v>
      </c>
      <c r="O241" s="4" t="s">
        <v>26</v>
      </c>
      <c r="P241" s="4" t="s">
        <v>36</v>
      </c>
      <c r="Q241" s="5">
        <v>47</v>
      </c>
      <c r="R241" s="4" t="s">
        <v>59</v>
      </c>
      <c r="S241" s="4" t="s">
        <v>45</v>
      </c>
      <c r="T241" s="4" t="s">
        <v>68</v>
      </c>
      <c r="U241" s="4" t="s">
        <v>91</v>
      </c>
    </row>
    <row r="242" spans="1:21" x14ac:dyDescent="0.25">
      <c r="A242" s="4" t="s">
        <v>339</v>
      </c>
      <c r="B242" s="1">
        <v>45568</v>
      </c>
      <c r="C242" s="4" t="s">
        <v>422</v>
      </c>
      <c r="D242" s="4" t="s">
        <v>410</v>
      </c>
      <c r="E242" s="1">
        <v>45596</v>
      </c>
      <c r="F242" s="4" t="s">
        <v>126</v>
      </c>
      <c r="G242" s="4" t="s">
        <v>103</v>
      </c>
      <c r="H242" s="4" t="s">
        <v>33</v>
      </c>
      <c r="I242" s="4" t="s">
        <v>58</v>
      </c>
      <c r="J242" s="4" t="s">
        <v>104</v>
      </c>
      <c r="K242" s="3">
        <v>864</v>
      </c>
      <c r="L242" s="5">
        <v>67</v>
      </c>
      <c r="M242" s="3">
        <v>57888</v>
      </c>
      <c r="N242" s="3">
        <f>AVERAGE(Mobile_Phone_Sales[[#This Row],[Total_Revenue]]/Mobile_Phone_Sales[[#This Row],[Units_Sold]])</f>
        <v>864</v>
      </c>
      <c r="O242" s="4" t="s">
        <v>65</v>
      </c>
      <c r="P242" s="4" t="s">
        <v>27</v>
      </c>
      <c r="Q242" s="5">
        <v>30</v>
      </c>
      <c r="R242" s="4" t="s">
        <v>52</v>
      </c>
      <c r="S242" s="4" t="s">
        <v>45</v>
      </c>
      <c r="T242" s="4" t="s">
        <v>53</v>
      </c>
      <c r="U242" s="4" t="s">
        <v>94</v>
      </c>
    </row>
    <row r="243" spans="1:21" x14ac:dyDescent="0.25">
      <c r="A243" s="4" t="s">
        <v>340</v>
      </c>
      <c r="B243" s="1">
        <v>45569</v>
      </c>
      <c r="C243" s="4" t="s">
        <v>422</v>
      </c>
      <c r="D243" s="4" t="s">
        <v>411</v>
      </c>
      <c r="E243" s="1">
        <v>45596</v>
      </c>
      <c r="F243" s="4" t="s">
        <v>82</v>
      </c>
      <c r="G243" s="4" t="s">
        <v>50</v>
      </c>
      <c r="H243" s="4" t="s">
        <v>33</v>
      </c>
      <c r="I243" s="4" t="s">
        <v>24</v>
      </c>
      <c r="J243" s="4" t="s">
        <v>25</v>
      </c>
      <c r="K243" s="3">
        <v>538</v>
      </c>
      <c r="L243" s="5">
        <v>49</v>
      </c>
      <c r="M243" s="3">
        <v>26362</v>
      </c>
      <c r="N243" s="3">
        <f>AVERAGE(Mobile_Phone_Sales[[#This Row],[Total_Revenue]]/Mobile_Phone_Sales[[#This Row],[Units_Sold]])</f>
        <v>538</v>
      </c>
      <c r="O243" s="4" t="s">
        <v>35</v>
      </c>
      <c r="P243" s="4" t="s">
        <v>36</v>
      </c>
      <c r="Q243" s="5">
        <v>64</v>
      </c>
      <c r="R243" s="4" t="s">
        <v>66</v>
      </c>
      <c r="S243" s="4" t="s">
        <v>45</v>
      </c>
      <c r="T243" s="4" t="s">
        <v>53</v>
      </c>
      <c r="U243" s="4" t="s">
        <v>94</v>
      </c>
    </row>
    <row r="244" spans="1:21" x14ac:dyDescent="0.25">
      <c r="A244" s="4" t="s">
        <v>341</v>
      </c>
      <c r="B244" s="1">
        <v>45570</v>
      </c>
      <c r="C244" s="4" t="s">
        <v>422</v>
      </c>
      <c r="D244" s="4" t="s">
        <v>412</v>
      </c>
      <c r="E244" s="1">
        <v>45596</v>
      </c>
      <c r="F244" s="4" t="s">
        <v>56</v>
      </c>
      <c r="G244" s="4" t="s">
        <v>57</v>
      </c>
      <c r="H244" s="4" t="s">
        <v>33</v>
      </c>
      <c r="I244" s="4" t="s">
        <v>58</v>
      </c>
      <c r="J244" s="4" t="s">
        <v>25</v>
      </c>
      <c r="K244" s="3">
        <v>1837</v>
      </c>
      <c r="L244" s="5">
        <v>6</v>
      </c>
      <c r="M244" s="3">
        <v>11022</v>
      </c>
      <c r="N244" s="3">
        <f>AVERAGE(Mobile_Phone_Sales[[#This Row],[Total_Revenue]]/Mobile_Phone_Sales[[#This Row],[Units_Sold]])</f>
        <v>1837</v>
      </c>
      <c r="O244" s="4" t="s">
        <v>26</v>
      </c>
      <c r="P244" s="4" t="s">
        <v>36</v>
      </c>
      <c r="Q244" s="5">
        <v>42</v>
      </c>
      <c r="R244" s="4" t="s">
        <v>59</v>
      </c>
      <c r="S244" s="4" t="s">
        <v>29</v>
      </c>
      <c r="T244" s="4" t="s">
        <v>68</v>
      </c>
      <c r="U244" s="4" t="s">
        <v>98</v>
      </c>
    </row>
    <row r="245" spans="1:21" x14ac:dyDescent="0.25">
      <c r="A245" s="4" t="s">
        <v>342</v>
      </c>
      <c r="B245" s="1">
        <v>45571</v>
      </c>
      <c r="C245" s="4" t="s">
        <v>422</v>
      </c>
      <c r="D245" s="4" t="s">
        <v>413</v>
      </c>
      <c r="E245" s="1">
        <v>45596</v>
      </c>
      <c r="F245" s="4" t="s">
        <v>80</v>
      </c>
      <c r="G245" s="4" t="s">
        <v>42</v>
      </c>
      <c r="H245" s="4" t="s">
        <v>23</v>
      </c>
      <c r="I245" s="4" t="s">
        <v>34</v>
      </c>
      <c r="J245" s="4" t="s">
        <v>25</v>
      </c>
      <c r="K245" s="3">
        <v>561</v>
      </c>
      <c r="L245" s="5">
        <v>53</v>
      </c>
      <c r="M245" s="3">
        <v>29733</v>
      </c>
      <c r="N245" s="3">
        <f>AVERAGE(Mobile_Phone_Sales[[#This Row],[Total_Revenue]]/Mobile_Phone_Sales[[#This Row],[Units_Sold]])</f>
        <v>561</v>
      </c>
      <c r="O245" s="4" t="s">
        <v>35</v>
      </c>
      <c r="P245" s="4" t="s">
        <v>51</v>
      </c>
      <c r="Q245" s="5">
        <v>28</v>
      </c>
      <c r="R245" s="4" t="s">
        <v>52</v>
      </c>
      <c r="S245" s="4" t="s">
        <v>45</v>
      </c>
      <c r="T245" s="4" t="s">
        <v>53</v>
      </c>
      <c r="U245" s="4" t="s">
        <v>94</v>
      </c>
    </row>
    <row r="246" spans="1:21" x14ac:dyDescent="0.25">
      <c r="A246" s="4" t="s">
        <v>343</v>
      </c>
      <c r="B246" s="1">
        <v>45573</v>
      </c>
      <c r="C246" s="4" t="s">
        <v>422</v>
      </c>
      <c r="D246" s="4" t="s">
        <v>408</v>
      </c>
      <c r="E246" s="1">
        <v>45596</v>
      </c>
      <c r="F246" s="4" t="s">
        <v>41</v>
      </c>
      <c r="G246" s="4" t="s">
        <v>42</v>
      </c>
      <c r="H246" s="4" t="s">
        <v>23</v>
      </c>
      <c r="I246" s="4" t="s">
        <v>34</v>
      </c>
      <c r="J246" s="4" t="s">
        <v>25</v>
      </c>
      <c r="K246" s="3">
        <v>683</v>
      </c>
      <c r="L246" s="5">
        <v>90</v>
      </c>
      <c r="M246" s="3">
        <v>61470</v>
      </c>
      <c r="N246" s="3">
        <f>AVERAGE(Mobile_Phone_Sales[[#This Row],[Total_Revenue]]/Mobile_Phone_Sales[[#This Row],[Units_Sold]])</f>
        <v>683</v>
      </c>
      <c r="O246" s="4" t="s">
        <v>26</v>
      </c>
      <c r="P246" s="4" t="s">
        <v>36</v>
      </c>
      <c r="Q246" s="5">
        <v>62</v>
      </c>
      <c r="R246" s="4" t="s">
        <v>66</v>
      </c>
      <c r="S246" s="4" t="s">
        <v>45</v>
      </c>
      <c r="T246" s="4" t="s">
        <v>68</v>
      </c>
      <c r="U246" s="4" t="s">
        <v>170</v>
      </c>
    </row>
    <row r="247" spans="1:21" x14ac:dyDescent="0.25">
      <c r="A247" s="4" t="s">
        <v>344</v>
      </c>
      <c r="B247" s="1">
        <v>45574</v>
      </c>
      <c r="C247" s="4" t="s">
        <v>422</v>
      </c>
      <c r="D247" s="4" t="s">
        <v>409</v>
      </c>
      <c r="E247" s="1">
        <v>45596</v>
      </c>
      <c r="F247" s="4" t="s">
        <v>146</v>
      </c>
      <c r="G247" s="4" t="s">
        <v>57</v>
      </c>
      <c r="H247" s="4" t="s">
        <v>33</v>
      </c>
      <c r="I247" s="4" t="s">
        <v>24</v>
      </c>
      <c r="J247" s="4" t="s">
        <v>25</v>
      </c>
      <c r="K247" s="3">
        <v>443</v>
      </c>
      <c r="L247" s="5">
        <v>77</v>
      </c>
      <c r="M247" s="3">
        <v>34111</v>
      </c>
      <c r="N247" s="3">
        <f>AVERAGE(Mobile_Phone_Sales[[#This Row],[Total_Revenue]]/Mobile_Phone_Sales[[#This Row],[Units_Sold]])</f>
        <v>443</v>
      </c>
      <c r="O247" s="4" t="s">
        <v>26</v>
      </c>
      <c r="P247" s="4" t="s">
        <v>36</v>
      </c>
      <c r="Q247" s="5">
        <v>62</v>
      </c>
      <c r="R247" s="4" t="s">
        <v>66</v>
      </c>
      <c r="S247" s="4" t="s">
        <v>45</v>
      </c>
      <c r="T247" s="4" t="s">
        <v>68</v>
      </c>
      <c r="U247" s="4" t="s">
        <v>195</v>
      </c>
    </row>
    <row r="248" spans="1:21" x14ac:dyDescent="0.25">
      <c r="A248" s="4" t="s">
        <v>345</v>
      </c>
      <c r="B248" s="1">
        <v>45575</v>
      </c>
      <c r="C248" s="4" t="s">
        <v>422</v>
      </c>
      <c r="D248" s="4" t="s">
        <v>410</v>
      </c>
      <c r="E248" s="1">
        <v>45596</v>
      </c>
      <c r="F248" s="4" t="s">
        <v>64</v>
      </c>
      <c r="G248" s="4" t="s">
        <v>50</v>
      </c>
      <c r="H248" s="4" t="s">
        <v>71</v>
      </c>
      <c r="I248" s="4" t="s">
        <v>58</v>
      </c>
      <c r="J248" s="4" t="s">
        <v>25</v>
      </c>
      <c r="K248" s="3">
        <v>828</v>
      </c>
      <c r="L248" s="5">
        <v>42</v>
      </c>
      <c r="M248" s="3">
        <v>34776</v>
      </c>
      <c r="N248" s="3">
        <f>AVERAGE(Mobile_Phone_Sales[[#This Row],[Total_Revenue]]/Mobile_Phone_Sales[[#This Row],[Units_Sold]])</f>
        <v>828</v>
      </c>
      <c r="O248" s="4" t="s">
        <v>26</v>
      </c>
      <c r="P248" s="4" t="s">
        <v>36</v>
      </c>
      <c r="Q248" s="5">
        <v>19</v>
      </c>
      <c r="R248" s="4" t="s">
        <v>87</v>
      </c>
      <c r="S248" s="4" t="s">
        <v>29</v>
      </c>
      <c r="T248" s="4" t="s">
        <v>53</v>
      </c>
      <c r="U248" s="4" t="s">
        <v>73</v>
      </c>
    </row>
    <row r="249" spans="1:21" x14ac:dyDescent="0.25">
      <c r="A249" s="4" t="s">
        <v>346</v>
      </c>
      <c r="B249" s="1">
        <v>45576</v>
      </c>
      <c r="C249" s="4" t="s">
        <v>422</v>
      </c>
      <c r="D249" s="4" t="s">
        <v>411</v>
      </c>
      <c r="E249" s="1">
        <v>45596</v>
      </c>
      <c r="F249" s="4" t="s">
        <v>96</v>
      </c>
      <c r="G249" s="4" t="s">
        <v>42</v>
      </c>
      <c r="H249" s="4" t="s">
        <v>33</v>
      </c>
      <c r="I249" s="4" t="s">
        <v>72</v>
      </c>
      <c r="J249" s="4" t="s">
        <v>25</v>
      </c>
      <c r="K249" s="3">
        <v>814</v>
      </c>
      <c r="L249" s="5">
        <v>37</v>
      </c>
      <c r="M249" s="3">
        <v>30118</v>
      </c>
      <c r="N249" s="3">
        <f>AVERAGE(Mobile_Phone_Sales[[#This Row],[Total_Revenue]]/Mobile_Phone_Sales[[#This Row],[Units_Sold]])</f>
        <v>814</v>
      </c>
      <c r="O249" s="4" t="s">
        <v>26</v>
      </c>
      <c r="P249" s="4" t="s">
        <v>36</v>
      </c>
      <c r="Q249" s="5">
        <v>47</v>
      </c>
      <c r="R249" s="4" t="s">
        <v>59</v>
      </c>
      <c r="S249" s="4" t="s">
        <v>29</v>
      </c>
      <c r="T249" s="4" t="s">
        <v>53</v>
      </c>
      <c r="U249" s="4" t="s">
        <v>73</v>
      </c>
    </row>
    <row r="250" spans="1:21" x14ac:dyDescent="0.25">
      <c r="A250" s="4" t="s">
        <v>347</v>
      </c>
      <c r="B250" s="1">
        <v>45577</v>
      </c>
      <c r="C250" s="4" t="s">
        <v>422</v>
      </c>
      <c r="D250" s="4" t="s">
        <v>412</v>
      </c>
      <c r="E250" s="1">
        <v>45596</v>
      </c>
      <c r="F250" s="4" t="s">
        <v>21</v>
      </c>
      <c r="G250" s="4" t="s">
        <v>22</v>
      </c>
      <c r="H250" s="4" t="s">
        <v>23</v>
      </c>
      <c r="I250" s="4" t="s">
        <v>72</v>
      </c>
      <c r="J250" s="4" t="s">
        <v>25</v>
      </c>
      <c r="K250" s="3">
        <v>546</v>
      </c>
      <c r="L250" s="5">
        <v>49</v>
      </c>
      <c r="M250" s="3">
        <v>26754</v>
      </c>
      <c r="N250" s="3">
        <f>AVERAGE(Mobile_Phone_Sales[[#This Row],[Total_Revenue]]/Mobile_Phone_Sales[[#This Row],[Units_Sold]])</f>
        <v>546</v>
      </c>
      <c r="O250" s="4" t="s">
        <v>65</v>
      </c>
      <c r="P250" s="4" t="s">
        <v>51</v>
      </c>
      <c r="Q250" s="5">
        <v>34</v>
      </c>
      <c r="R250" s="4" t="s">
        <v>28</v>
      </c>
      <c r="S250" s="4" t="s">
        <v>45</v>
      </c>
      <c r="T250" s="4" t="s">
        <v>68</v>
      </c>
      <c r="U250" s="4" t="s">
        <v>98</v>
      </c>
    </row>
    <row r="251" spans="1:21" x14ac:dyDescent="0.25">
      <c r="A251" s="4" t="s">
        <v>348</v>
      </c>
      <c r="B251" s="1">
        <v>45578</v>
      </c>
      <c r="C251" s="4" t="s">
        <v>422</v>
      </c>
      <c r="D251" s="4" t="s">
        <v>413</v>
      </c>
      <c r="E251" s="1">
        <v>45596</v>
      </c>
      <c r="F251" s="4" t="s">
        <v>129</v>
      </c>
      <c r="G251" s="4" t="s">
        <v>103</v>
      </c>
      <c r="H251" s="4" t="s">
        <v>33</v>
      </c>
      <c r="I251" s="4" t="s">
        <v>43</v>
      </c>
      <c r="J251" s="4" t="s">
        <v>104</v>
      </c>
      <c r="K251" s="3">
        <v>1139</v>
      </c>
      <c r="L251" s="5">
        <v>44</v>
      </c>
      <c r="M251" s="3">
        <v>50116</v>
      </c>
      <c r="N251" s="3">
        <f>AVERAGE(Mobile_Phone_Sales[[#This Row],[Total_Revenue]]/Mobile_Phone_Sales[[#This Row],[Units_Sold]])</f>
        <v>1139</v>
      </c>
      <c r="O251" s="4" t="s">
        <v>26</v>
      </c>
      <c r="P251" s="4" t="s">
        <v>27</v>
      </c>
      <c r="Q251" s="5">
        <v>31</v>
      </c>
      <c r="R251" s="4" t="s">
        <v>52</v>
      </c>
      <c r="S251" s="4" t="s">
        <v>29</v>
      </c>
      <c r="T251" s="4" t="s">
        <v>46</v>
      </c>
      <c r="U251" s="4" t="s">
        <v>47</v>
      </c>
    </row>
    <row r="252" spans="1:21" x14ac:dyDescent="0.25">
      <c r="A252" s="4" t="s">
        <v>349</v>
      </c>
      <c r="B252" s="1">
        <v>45579</v>
      </c>
      <c r="C252" s="4" t="s">
        <v>422</v>
      </c>
      <c r="D252" s="4" t="s">
        <v>407</v>
      </c>
      <c r="E252" s="1">
        <v>45596</v>
      </c>
      <c r="F252" s="4" t="s">
        <v>56</v>
      </c>
      <c r="G252" s="4" t="s">
        <v>57</v>
      </c>
      <c r="H252" s="4" t="s">
        <v>23</v>
      </c>
      <c r="I252" s="4" t="s">
        <v>34</v>
      </c>
      <c r="J252" s="4" t="s">
        <v>25</v>
      </c>
      <c r="K252" s="3">
        <v>1816</v>
      </c>
      <c r="L252" s="5">
        <v>84</v>
      </c>
      <c r="M252" s="3">
        <v>152544</v>
      </c>
      <c r="N252" s="3">
        <f>AVERAGE(Mobile_Phone_Sales[[#This Row],[Total_Revenue]]/Mobile_Phone_Sales[[#This Row],[Units_Sold]])</f>
        <v>1816</v>
      </c>
      <c r="O252" s="4" t="s">
        <v>26</v>
      </c>
      <c r="P252" s="4" t="s">
        <v>27</v>
      </c>
      <c r="Q252" s="5">
        <v>41</v>
      </c>
      <c r="R252" s="4" t="s">
        <v>28</v>
      </c>
      <c r="S252" s="4" t="s">
        <v>29</v>
      </c>
      <c r="T252" s="4" t="s">
        <v>53</v>
      </c>
      <c r="U252" s="4" t="s">
        <v>100</v>
      </c>
    </row>
    <row r="253" spans="1:21" x14ac:dyDescent="0.25">
      <c r="A253" s="4" t="s">
        <v>350</v>
      </c>
      <c r="B253" s="1">
        <v>45580</v>
      </c>
      <c r="C253" s="4" t="s">
        <v>422</v>
      </c>
      <c r="D253" s="4" t="s">
        <v>408</v>
      </c>
      <c r="E253" s="1">
        <v>45596</v>
      </c>
      <c r="F253" s="4" t="s">
        <v>80</v>
      </c>
      <c r="G253" s="4" t="s">
        <v>42</v>
      </c>
      <c r="H253" s="4" t="s">
        <v>71</v>
      </c>
      <c r="I253" s="4" t="s">
        <v>43</v>
      </c>
      <c r="J253" s="4" t="s">
        <v>25</v>
      </c>
      <c r="K253" s="3">
        <v>571</v>
      </c>
      <c r="L253" s="5">
        <v>73</v>
      </c>
      <c r="M253" s="3">
        <v>41683</v>
      </c>
      <c r="N253" s="3">
        <f>AVERAGE(Mobile_Phone_Sales[[#This Row],[Total_Revenue]]/Mobile_Phone_Sales[[#This Row],[Units_Sold]])</f>
        <v>571</v>
      </c>
      <c r="O253" s="4" t="s">
        <v>26</v>
      </c>
      <c r="P253" s="4" t="s">
        <v>51</v>
      </c>
      <c r="Q253" s="5">
        <v>59</v>
      </c>
      <c r="R253" s="4" t="s">
        <v>66</v>
      </c>
      <c r="S253" s="4" t="s">
        <v>29</v>
      </c>
      <c r="T253" s="4" t="s">
        <v>46</v>
      </c>
      <c r="U253" s="4" t="s">
        <v>118</v>
      </c>
    </row>
    <row r="254" spans="1:21" x14ac:dyDescent="0.25">
      <c r="A254" s="4" t="s">
        <v>351</v>
      </c>
      <c r="B254" s="1">
        <v>45581</v>
      </c>
      <c r="C254" s="4" t="s">
        <v>422</v>
      </c>
      <c r="D254" s="4" t="s">
        <v>409</v>
      </c>
      <c r="E254" s="1">
        <v>45596</v>
      </c>
      <c r="F254" s="4" t="s">
        <v>102</v>
      </c>
      <c r="G254" s="4" t="s">
        <v>103</v>
      </c>
      <c r="H254" s="4" t="s">
        <v>23</v>
      </c>
      <c r="I254" s="4" t="s">
        <v>24</v>
      </c>
      <c r="J254" s="4" t="s">
        <v>104</v>
      </c>
      <c r="K254" s="3">
        <v>1013</v>
      </c>
      <c r="L254" s="5">
        <v>36</v>
      </c>
      <c r="M254" s="3">
        <v>36468</v>
      </c>
      <c r="N254" s="3">
        <f>AVERAGE(Mobile_Phone_Sales[[#This Row],[Total_Revenue]]/Mobile_Phone_Sales[[#This Row],[Units_Sold]])</f>
        <v>1013</v>
      </c>
      <c r="O254" s="4" t="s">
        <v>65</v>
      </c>
      <c r="P254" s="4" t="s">
        <v>51</v>
      </c>
      <c r="Q254" s="5">
        <v>42</v>
      </c>
      <c r="R254" s="4" t="s">
        <v>59</v>
      </c>
      <c r="S254" s="4" t="s">
        <v>45</v>
      </c>
      <c r="T254" s="4" t="s">
        <v>53</v>
      </c>
      <c r="U254" s="4" t="s">
        <v>62</v>
      </c>
    </row>
    <row r="255" spans="1:21" x14ac:dyDescent="0.25">
      <c r="A255" s="4" t="s">
        <v>352</v>
      </c>
      <c r="B255" s="1">
        <v>45582</v>
      </c>
      <c r="C255" s="4" t="s">
        <v>422</v>
      </c>
      <c r="D255" s="4" t="s">
        <v>410</v>
      </c>
      <c r="E255" s="1">
        <v>45596</v>
      </c>
      <c r="F255" s="4" t="s">
        <v>78</v>
      </c>
      <c r="G255" s="4" t="s">
        <v>22</v>
      </c>
      <c r="H255" s="4" t="s">
        <v>71</v>
      </c>
      <c r="I255" s="4" t="s">
        <v>24</v>
      </c>
      <c r="J255" s="4" t="s">
        <v>25</v>
      </c>
      <c r="K255" s="3">
        <v>792</v>
      </c>
      <c r="L255" s="5">
        <v>4</v>
      </c>
      <c r="M255" s="3">
        <v>3168</v>
      </c>
      <c r="N255" s="3">
        <f>AVERAGE(Mobile_Phone_Sales[[#This Row],[Total_Revenue]]/Mobile_Phone_Sales[[#This Row],[Units_Sold]])</f>
        <v>792</v>
      </c>
      <c r="O255" s="4" t="s">
        <v>26</v>
      </c>
      <c r="P255" s="4" t="s">
        <v>51</v>
      </c>
      <c r="Q255" s="5">
        <v>40</v>
      </c>
      <c r="R255" s="4" t="s">
        <v>28</v>
      </c>
      <c r="S255" s="4" t="s">
        <v>45</v>
      </c>
      <c r="T255" s="4" t="s">
        <v>46</v>
      </c>
      <c r="U255" s="4" t="s">
        <v>60</v>
      </c>
    </row>
    <row r="256" spans="1:21" x14ac:dyDescent="0.25">
      <c r="A256" s="4" t="s">
        <v>353</v>
      </c>
      <c r="B256" s="1">
        <v>45583</v>
      </c>
      <c r="C256" s="4" t="s">
        <v>422</v>
      </c>
      <c r="D256" s="4" t="s">
        <v>411</v>
      </c>
      <c r="E256" s="1">
        <v>45596</v>
      </c>
      <c r="F256" s="4" t="s">
        <v>75</v>
      </c>
      <c r="G256" s="4" t="s">
        <v>50</v>
      </c>
      <c r="H256" s="4" t="s">
        <v>71</v>
      </c>
      <c r="I256" s="4" t="s">
        <v>72</v>
      </c>
      <c r="J256" s="4" t="s">
        <v>25</v>
      </c>
      <c r="K256" s="3">
        <v>370</v>
      </c>
      <c r="L256" s="5">
        <v>8</v>
      </c>
      <c r="M256" s="3">
        <v>2960</v>
      </c>
      <c r="N256" s="3">
        <f>AVERAGE(Mobile_Phone_Sales[[#This Row],[Total_Revenue]]/Mobile_Phone_Sales[[#This Row],[Units_Sold]])</f>
        <v>370</v>
      </c>
      <c r="O256" s="4" t="s">
        <v>26</v>
      </c>
      <c r="P256" s="4" t="s">
        <v>36</v>
      </c>
      <c r="Q256" s="5">
        <v>28</v>
      </c>
      <c r="R256" s="4" t="s">
        <v>52</v>
      </c>
      <c r="S256" s="4" t="s">
        <v>29</v>
      </c>
      <c r="T256" s="4" t="s">
        <v>53</v>
      </c>
      <c r="U256" s="4" t="s">
        <v>94</v>
      </c>
    </row>
    <row r="257" spans="1:21" x14ac:dyDescent="0.25">
      <c r="A257" s="4" t="s">
        <v>354</v>
      </c>
      <c r="B257" s="1">
        <v>45586</v>
      </c>
      <c r="C257" s="4" t="s">
        <v>422</v>
      </c>
      <c r="D257" s="4" t="s">
        <v>407</v>
      </c>
      <c r="E257" s="1">
        <v>45596</v>
      </c>
      <c r="F257" s="4" t="s">
        <v>146</v>
      </c>
      <c r="G257" s="4" t="s">
        <v>57</v>
      </c>
      <c r="H257" s="4" t="s">
        <v>23</v>
      </c>
      <c r="I257" s="4" t="s">
        <v>72</v>
      </c>
      <c r="J257" s="4" t="s">
        <v>25</v>
      </c>
      <c r="K257" s="3">
        <v>470</v>
      </c>
      <c r="L257" s="5">
        <v>23</v>
      </c>
      <c r="M257" s="3">
        <v>10810</v>
      </c>
      <c r="N257" s="3">
        <f>AVERAGE(Mobile_Phone_Sales[[#This Row],[Total_Revenue]]/Mobile_Phone_Sales[[#This Row],[Units_Sold]])</f>
        <v>470</v>
      </c>
      <c r="O257" s="4" t="s">
        <v>65</v>
      </c>
      <c r="P257" s="4" t="s">
        <v>36</v>
      </c>
      <c r="Q257" s="5">
        <v>51</v>
      </c>
      <c r="R257" s="4" t="s">
        <v>37</v>
      </c>
      <c r="S257" s="4" t="s">
        <v>29</v>
      </c>
      <c r="T257" s="4" t="s">
        <v>68</v>
      </c>
      <c r="U257" s="4" t="s">
        <v>132</v>
      </c>
    </row>
    <row r="258" spans="1:21" x14ac:dyDescent="0.25">
      <c r="A258" s="4" t="s">
        <v>355</v>
      </c>
      <c r="B258" s="1">
        <v>45587</v>
      </c>
      <c r="C258" s="4" t="s">
        <v>422</v>
      </c>
      <c r="D258" s="4" t="s">
        <v>408</v>
      </c>
      <c r="E258" s="1">
        <v>45596</v>
      </c>
      <c r="F258" s="4" t="s">
        <v>102</v>
      </c>
      <c r="G258" s="4" t="s">
        <v>103</v>
      </c>
      <c r="H258" s="4" t="s">
        <v>23</v>
      </c>
      <c r="I258" s="4" t="s">
        <v>72</v>
      </c>
      <c r="J258" s="4" t="s">
        <v>104</v>
      </c>
      <c r="K258" s="3">
        <v>1053</v>
      </c>
      <c r="L258" s="5">
        <v>65</v>
      </c>
      <c r="M258" s="3">
        <v>68445</v>
      </c>
      <c r="N258" s="3">
        <f>AVERAGE(Mobile_Phone_Sales[[#This Row],[Total_Revenue]]/Mobile_Phone_Sales[[#This Row],[Units_Sold]])</f>
        <v>1053</v>
      </c>
      <c r="O258" s="4" t="s">
        <v>26</v>
      </c>
      <c r="P258" s="4" t="s">
        <v>44</v>
      </c>
      <c r="Q258" s="5">
        <v>59</v>
      </c>
      <c r="R258" s="4" t="s">
        <v>66</v>
      </c>
      <c r="S258" s="4" t="s">
        <v>29</v>
      </c>
      <c r="T258" s="4" t="s">
        <v>68</v>
      </c>
      <c r="U258" s="4" t="s">
        <v>88</v>
      </c>
    </row>
    <row r="259" spans="1:21" x14ac:dyDescent="0.25">
      <c r="A259" s="4" t="s">
        <v>356</v>
      </c>
      <c r="B259" s="1">
        <v>45588</v>
      </c>
      <c r="C259" s="4" t="s">
        <v>422</v>
      </c>
      <c r="D259" s="4" t="s">
        <v>409</v>
      </c>
      <c r="E259" s="1">
        <v>45596</v>
      </c>
      <c r="F259" s="4" t="s">
        <v>131</v>
      </c>
      <c r="G259" s="4" t="s">
        <v>103</v>
      </c>
      <c r="H259" s="4" t="s">
        <v>71</v>
      </c>
      <c r="I259" s="4" t="s">
        <v>58</v>
      </c>
      <c r="J259" s="4" t="s">
        <v>104</v>
      </c>
      <c r="K259" s="3">
        <v>809</v>
      </c>
      <c r="L259" s="5">
        <v>72</v>
      </c>
      <c r="M259" s="3">
        <v>58248</v>
      </c>
      <c r="N259" s="3">
        <f>AVERAGE(Mobile_Phone_Sales[[#This Row],[Total_Revenue]]/Mobile_Phone_Sales[[#This Row],[Units_Sold]])</f>
        <v>809</v>
      </c>
      <c r="O259" s="4" t="s">
        <v>26</v>
      </c>
      <c r="P259" s="4" t="s">
        <v>51</v>
      </c>
      <c r="Q259" s="5">
        <v>41</v>
      </c>
      <c r="R259" s="4" t="s">
        <v>28</v>
      </c>
      <c r="S259" s="4" t="s">
        <v>45</v>
      </c>
      <c r="T259" s="4" t="s">
        <v>46</v>
      </c>
      <c r="U259" s="4" t="s">
        <v>118</v>
      </c>
    </row>
    <row r="260" spans="1:21" x14ac:dyDescent="0.25">
      <c r="A260" s="4" t="s">
        <v>357</v>
      </c>
      <c r="B260" s="1">
        <v>45590</v>
      </c>
      <c r="C260" s="4" t="s">
        <v>422</v>
      </c>
      <c r="D260" s="4" t="s">
        <v>411</v>
      </c>
      <c r="E260" s="1">
        <v>45596</v>
      </c>
      <c r="F260" s="4" t="s">
        <v>41</v>
      </c>
      <c r="G260" s="4" t="s">
        <v>42</v>
      </c>
      <c r="H260" s="4" t="s">
        <v>71</v>
      </c>
      <c r="I260" s="4" t="s">
        <v>58</v>
      </c>
      <c r="J260" s="4" t="s">
        <v>25</v>
      </c>
      <c r="K260" s="3">
        <v>601</v>
      </c>
      <c r="L260" s="5">
        <v>78</v>
      </c>
      <c r="M260" s="3">
        <v>46878</v>
      </c>
      <c r="N260" s="3">
        <f>AVERAGE(Mobile_Phone_Sales[[#This Row],[Total_Revenue]]/Mobile_Phone_Sales[[#This Row],[Units_Sold]])</f>
        <v>601</v>
      </c>
      <c r="O260" s="4" t="s">
        <v>65</v>
      </c>
      <c r="P260" s="4" t="s">
        <v>51</v>
      </c>
      <c r="Q260" s="5">
        <v>51</v>
      </c>
      <c r="R260" s="4" t="s">
        <v>37</v>
      </c>
      <c r="S260" s="4" t="s">
        <v>29</v>
      </c>
      <c r="T260" s="4" t="s">
        <v>46</v>
      </c>
      <c r="U260" s="4" t="s">
        <v>47</v>
      </c>
    </row>
    <row r="261" spans="1:21" x14ac:dyDescent="0.25">
      <c r="A261" s="4" t="s">
        <v>358</v>
      </c>
      <c r="B261" s="1">
        <v>45591</v>
      </c>
      <c r="C261" s="4" t="s">
        <v>422</v>
      </c>
      <c r="D261" s="4" t="s">
        <v>412</v>
      </c>
      <c r="E261" s="1">
        <v>45596</v>
      </c>
      <c r="F261" s="4" t="s">
        <v>96</v>
      </c>
      <c r="G261" s="4" t="s">
        <v>42</v>
      </c>
      <c r="H261" s="4" t="s">
        <v>33</v>
      </c>
      <c r="I261" s="4" t="s">
        <v>72</v>
      </c>
      <c r="J261" s="4" t="s">
        <v>25</v>
      </c>
      <c r="K261" s="3">
        <v>854</v>
      </c>
      <c r="L261" s="5">
        <v>75</v>
      </c>
      <c r="M261" s="3">
        <v>64050</v>
      </c>
      <c r="N261" s="3">
        <f>AVERAGE(Mobile_Phone_Sales[[#This Row],[Total_Revenue]]/Mobile_Phone_Sales[[#This Row],[Units_Sold]])</f>
        <v>854</v>
      </c>
      <c r="O261" s="4" t="s">
        <v>26</v>
      </c>
      <c r="P261" s="4" t="s">
        <v>27</v>
      </c>
      <c r="Q261" s="5">
        <v>63</v>
      </c>
      <c r="R261" s="4" t="s">
        <v>66</v>
      </c>
      <c r="S261" s="4" t="s">
        <v>29</v>
      </c>
      <c r="T261" s="4" t="s">
        <v>53</v>
      </c>
      <c r="U261" s="4" t="s">
        <v>73</v>
      </c>
    </row>
    <row r="262" spans="1:21" x14ac:dyDescent="0.25">
      <c r="A262" s="4" t="s">
        <v>359</v>
      </c>
      <c r="B262" s="1">
        <v>45592</v>
      </c>
      <c r="C262" s="4" t="s">
        <v>422</v>
      </c>
      <c r="D262" s="4" t="s">
        <v>413</v>
      </c>
      <c r="E262" s="1">
        <v>45596</v>
      </c>
      <c r="F262" s="4" t="s">
        <v>75</v>
      </c>
      <c r="G262" s="4" t="s">
        <v>50</v>
      </c>
      <c r="H262" s="4" t="s">
        <v>33</v>
      </c>
      <c r="I262" s="4" t="s">
        <v>72</v>
      </c>
      <c r="J262" s="4" t="s">
        <v>25</v>
      </c>
      <c r="K262" s="3">
        <v>350</v>
      </c>
      <c r="L262" s="5">
        <v>11</v>
      </c>
      <c r="M262" s="3">
        <v>3850</v>
      </c>
      <c r="N262" s="3">
        <f>AVERAGE(Mobile_Phone_Sales[[#This Row],[Total_Revenue]]/Mobile_Phone_Sales[[#This Row],[Units_Sold]])</f>
        <v>350</v>
      </c>
      <c r="O262" s="4" t="s">
        <v>65</v>
      </c>
      <c r="P262" s="4" t="s">
        <v>27</v>
      </c>
      <c r="Q262" s="5">
        <v>43</v>
      </c>
      <c r="R262" s="4" t="s">
        <v>59</v>
      </c>
      <c r="S262" s="4" t="s">
        <v>45</v>
      </c>
      <c r="T262" s="4" t="s">
        <v>68</v>
      </c>
      <c r="U262" s="4" t="s">
        <v>170</v>
      </c>
    </row>
    <row r="263" spans="1:21" x14ac:dyDescent="0.25">
      <c r="A263" s="4" t="s">
        <v>360</v>
      </c>
      <c r="B263" s="1">
        <v>45594</v>
      </c>
      <c r="C263" s="4" t="s">
        <v>422</v>
      </c>
      <c r="D263" s="4" t="s">
        <v>408</v>
      </c>
      <c r="E263" s="1">
        <v>45596</v>
      </c>
      <c r="F263" s="4" t="s">
        <v>131</v>
      </c>
      <c r="G263" s="4" t="s">
        <v>103</v>
      </c>
      <c r="H263" s="4" t="s">
        <v>23</v>
      </c>
      <c r="I263" s="4" t="s">
        <v>34</v>
      </c>
      <c r="J263" s="4" t="s">
        <v>104</v>
      </c>
      <c r="K263" s="3">
        <v>822</v>
      </c>
      <c r="L263" s="5">
        <v>9</v>
      </c>
      <c r="M263" s="3">
        <v>7398</v>
      </c>
      <c r="N263" s="3">
        <f>AVERAGE(Mobile_Phone_Sales[[#This Row],[Total_Revenue]]/Mobile_Phone_Sales[[#This Row],[Units_Sold]])</f>
        <v>822</v>
      </c>
      <c r="O263" s="4" t="s">
        <v>65</v>
      </c>
      <c r="P263" s="4" t="s">
        <v>36</v>
      </c>
      <c r="Q263" s="5">
        <v>56</v>
      </c>
      <c r="R263" s="4" t="s">
        <v>37</v>
      </c>
      <c r="S263" s="4" t="s">
        <v>45</v>
      </c>
      <c r="T263" s="4" t="s">
        <v>53</v>
      </c>
      <c r="U263" s="4" t="s">
        <v>94</v>
      </c>
    </row>
    <row r="264" spans="1:21" x14ac:dyDescent="0.25">
      <c r="A264" s="4" t="s">
        <v>361</v>
      </c>
      <c r="B264" s="1">
        <v>45597</v>
      </c>
      <c r="C264" s="4" t="s">
        <v>423</v>
      </c>
      <c r="D264" s="4" t="s">
        <v>411</v>
      </c>
      <c r="E264" s="1">
        <v>45626</v>
      </c>
      <c r="F264" s="4" t="s">
        <v>126</v>
      </c>
      <c r="G264" s="4" t="s">
        <v>103</v>
      </c>
      <c r="H264" s="4" t="s">
        <v>71</v>
      </c>
      <c r="I264" s="4" t="s">
        <v>43</v>
      </c>
      <c r="J264" s="4" t="s">
        <v>104</v>
      </c>
      <c r="K264" s="3">
        <v>829</v>
      </c>
      <c r="L264" s="5">
        <v>48</v>
      </c>
      <c r="M264" s="3">
        <v>39792</v>
      </c>
      <c r="N264" s="3">
        <f>AVERAGE(Mobile_Phone_Sales[[#This Row],[Total_Revenue]]/Mobile_Phone_Sales[[#This Row],[Units_Sold]])</f>
        <v>829</v>
      </c>
      <c r="O264" s="4" t="s">
        <v>26</v>
      </c>
      <c r="P264" s="4" t="s">
        <v>44</v>
      </c>
      <c r="Q264" s="5">
        <v>43</v>
      </c>
      <c r="R264" s="4" t="s">
        <v>59</v>
      </c>
      <c r="S264" s="4" t="s">
        <v>29</v>
      </c>
      <c r="T264" s="4" t="s">
        <v>53</v>
      </c>
      <c r="U264" s="4" t="s">
        <v>94</v>
      </c>
    </row>
    <row r="265" spans="1:21" x14ac:dyDescent="0.25">
      <c r="A265" s="4" t="s">
        <v>362</v>
      </c>
      <c r="B265" s="1">
        <v>45599</v>
      </c>
      <c r="C265" s="4" t="s">
        <v>423</v>
      </c>
      <c r="D265" s="4" t="s">
        <v>413</v>
      </c>
      <c r="E265" s="1">
        <v>45626</v>
      </c>
      <c r="F265" s="4" t="s">
        <v>146</v>
      </c>
      <c r="G265" s="4" t="s">
        <v>57</v>
      </c>
      <c r="H265" s="4" t="s">
        <v>33</v>
      </c>
      <c r="I265" s="4" t="s">
        <v>58</v>
      </c>
      <c r="J265" s="4" t="s">
        <v>25</v>
      </c>
      <c r="K265" s="3">
        <v>490</v>
      </c>
      <c r="L265" s="5">
        <v>27</v>
      </c>
      <c r="M265" s="3">
        <v>13230</v>
      </c>
      <c r="N265" s="3">
        <f>AVERAGE(Mobile_Phone_Sales[[#This Row],[Total_Revenue]]/Mobile_Phone_Sales[[#This Row],[Units_Sold]])</f>
        <v>490</v>
      </c>
      <c r="O265" s="4" t="s">
        <v>26</v>
      </c>
      <c r="P265" s="4" t="s">
        <v>27</v>
      </c>
      <c r="Q265" s="5">
        <v>37</v>
      </c>
      <c r="R265" s="4" t="s">
        <v>28</v>
      </c>
      <c r="S265" s="4" t="s">
        <v>29</v>
      </c>
      <c r="T265" s="4" t="s">
        <v>68</v>
      </c>
      <c r="U265" s="4" t="s">
        <v>132</v>
      </c>
    </row>
    <row r="266" spans="1:21" x14ac:dyDescent="0.25">
      <c r="A266" s="4" t="s">
        <v>363</v>
      </c>
      <c r="B266" s="1">
        <v>45602</v>
      </c>
      <c r="C266" s="4" t="s">
        <v>423</v>
      </c>
      <c r="D266" s="4" t="s">
        <v>409</v>
      </c>
      <c r="E266" s="1">
        <v>45626</v>
      </c>
      <c r="F266" s="4" t="s">
        <v>85</v>
      </c>
      <c r="G266" s="4" t="s">
        <v>22</v>
      </c>
      <c r="H266" s="4" t="s">
        <v>71</v>
      </c>
      <c r="I266" s="4" t="s">
        <v>34</v>
      </c>
      <c r="J266" s="4" t="s">
        <v>25</v>
      </c>
      <c r="K266" s="3">
        <v>1000</v>
      </c>
      <c r="L266" s="5">
        <v>5</v>
      </c>
      <c r="M266" s="3">
        <v>5000</v>
      </c>
      <c r="N266" s="3">
        <f>AVERAGE(Mobile_Phone_Sales[[#This Row],[Total_Revenue]]/Mobile_Phone_Sales[[#This Row],[Units_Sold]])</f>
        <v>1000</v>
      </c>
      <c r="O266" s="4" t="s">
        <v>65</v>
      </c>
      <c r="P266" s="4" t="s">
        <v>44</v>
      </c>
      <c r="Q266" s="5">
        <v>54</v>
      </c>
      <c r="R266" s="4" t="s">
        <v>37</v>
      </c>
      <c r="S266" s="4" t="s">
        <v>45</v>
      </c>
      <c r="T266" s="4" t="s">
        <v>53</v>
      </c>
      <c r="U266" s="4" t="s">
        <v>73</v>
      </c>
    </row>
    <row r="267" spans="1:21" x14ac:dyDescent="0.25">
      <c r="A267" s="4" t="s">
        <v>364</v>
      </c>
      <c r="B267" s="1">
        <v>45603</v>
      </c>
      <c r="C267" s="4" t="s">
        <v>423</v>
      </c>
      <c r="D267" s="4" t="s">
        <v>410</v>
      </c>
      <c r="E267" s="1">
        <v>45626</v>
      </c>
      <c r="F267" s="4" t="s">
        <v>64</v>
      </c>
      <c r="G267" s="4" t="s">
        <v>50</v>
      </c>
      <c r="H267" s="4" t="s">
        <v>71</v>
      </c>
      <c r="I267" s="4" t="s">
        <v>58</v>
      </c>
      <c r="J267" s="4" t="s">
        <v>25</v>
      </c>
      <c r="K267" s="3">
        <v>841</v>
      </c>
      <c r="L267" s="5">
        <v>61</v>
      </c>
      <c r="M267" s="3">
        <v>51301</v>
      </c>
      <c r="N267" s="3">
        <f>AVERAGE(Mobile_Phone_Sales[[#This Row],[Total_Revenue]]/Mobile_Phone_Sales[[#This Row],[Units_Sold]])</f>
        <v>841</v>
      </c>
      <c r="O267" s="4" t="s">
        <v>26</v>
      </c>
      <c r="P267" s="4" t="s">
        <v>44</v>
      </c>
      <c r="Q267" s="5">
        <v>47</v>
      </c>
      <c r="R267" s="4" t="s">
        <v>59</v>
      </c>
      <c r="S267" s="4" t="s">
        <v>45</v>
      </c>
      <c r="T267" s="4" t="s">
        <v>53</v>
      </c>
      <c r="U267" s="4" t="s">
        <v>62</v>
      </c>
    </row>
    <row r="268" spans="1:21" x14ac:dyDescent="0.25">
      <c r="A268" s="4" t="s">
        <v>365</v>
      </c>
      <c r="B268" s="1">
        <v>45604</v>
      </c>
      <c r="C268" s="4" t="s">
        <v>423</v>
      </c>
      <c r="D268" s="4" t="s">
        <v>411</v>
      </c>
      <c r="E268" s="1">
        <v>45626</v>
      </c>
      <c r="F268" s="4" t="s">
        <v>131</v>
      </c>
      <c r="G268" s="4" t="s">
        <v>103</v>
      </c>
      <c r="H268" s="4" t="s">
        <v>23</v>
      </c>
      <c r="I268" s="4" t="s">
        <v>34</v>
      </c>
      <c r="J268" s="4" t="s">
        <v>104</v>
      </c>
      <c r="K268" s="3">
        <v>896</v>
      </c>
      <c r="L268" s="5">
        <v>83</v>
      </c>
      <c r="M268" s="3">
        <v>74368</v>
      </c>
      <c r="N268" s="3">
        <f>AVERAGE(Mobile_Phone_Sales[[#This Row],[Total_Revenue]]/Mobile_Phone_Sales[[#This Row],[Units_Sold]])</f>
        <v>896</v>
      </c>
      <c r="O268" s="4" t="s">
        <v>26</v>
      </c>
      <c r="P268" s="4" t="s">
        <v>44</v>
      </c>
      <c r="Q268" s="5">
        <v>54</v>
      </c>
      <c r="R268" s="4" t="s">
        <v>37</v>
      </c>
      <c r="S268" s="4" t="s">
        <v>29</v>
      </c>
      <c r="T268" s="4" t="s">
        <v>68</v>
      </c>
      <c r="U268" s="4" t="s">
        <v>132</v>
      </c>
    </row>
    <row r="269" spans="1:21" x14ac:dyDescent="0.25">
      <c r="A269" s="4" t="s">
        <v>366</v>
      </c>
      <c r="B269" s="1">
        <v>45605</v>
      </c>
      <c r="C269" s="4" t="s">
        <v>423</v>
      </c>
      <c r="D269" s="4" t="s">
        <v>412</v>
      </c>
      <c r="E269" s="1">
        <v>45626</v>
      </c>
      <c r="F269" s="4" t="s">
        <v>146</v>
      </c>
      <c r="G269" s="4" t="s">
        <v>57</v>
      </c>
      <c r="H269" s="4" t="s">
        <v>33</v>
      </c>
      <c r="I269" s="4" t="s">
        <v>58</v>
      </c>
      <c r="J269" s="4" t="s">
        <v>25</v>
      </c>
      <c r="K269" s="3">
        <v>458</v>
      </c>
      <c r="L269" s="5">
        <v>49</v>
      </c>
      <c r="M269" s="3">
        <v>22442</v>
      </c>
      <c r="N269" s="3">
        <f>AVERAGE(Mobile_Phone_Sales[[#This Row],[Total_Revenue]]/Mobile_Phone_Sales[[#This Row],[Units_Sold]])</f>
        <v>458</v>
      </c>
      <c r="O269" s="4" t="s">
        <v>65</v>
      </c>
      <c r="P269" s="4" t="s">
        <v>51</v>
      </c>
      <c r="Q269" s="5">
        <v>29</v>
      </c>
      <c r="R269" s="4" t="s">
        <v>52</v>
      </c>
      <c r="S269" s="4" t="s">
        <v>29</v>
      </c>
      <c r="T269" s="4" t="s">
        <v>53</v>
      </c>
      <c r="U269" s="4" t="s">
        <v>62</v>
      </c>
    </row>
    <row r="270" spans="1:21" x14ac:dyDescent="0.25">
      <c r="A270" s="4" t="s">
        <v>367</v>
      </c>
      <c r="B270" s="1">
        <v>45606</v>
      </c>
      <c r="C270" s="4" t="s">
        <v>423</v>
      </c>
      <c r="D270" s="4" t="s">
        <v>413</v>
      </c>
      <c r="E270" s="1">
        <v>45626</v>
      </c>
      <c r="F270" s="4" t="s">
        <v>41</v>
      </c>
      <c r="G270" s="4" t="s">
        <v>42</v>
      </c>
      <c r="H270" s="4" t="s">
        <v>71</v>
      </c>
      <c r="I270" s="4" t="s">
        <v>34</v>
      </c>
      <c r="J270" s="4" t="s">
        <v>25</v>
      </c>
      <c r="K270" s="3">
        <v>643</v>
      </c>
      <c r="L270" s="5">
        <v>81</v>
      </c>
      <c r="M270" s="3">
        <v>52083</v>
      </c>
      <c r="N270" s="3">
        <f>AVERAGE(Mobile_Phone_Sales[[#This Row],[Total_Revenue]]/Mobile_Phone_Sales[[#This Row],[Units_Sold]])</f>
        <v>643</v>
      </c>
      <c r="O270" s="4" t="s">
        <v>65</v>
      </c>
      <c r="P270" s="4" t="s">
        <v>27</v>
      </c>
      <c r="Q270" s="5">
        <v>31</v>
      </c>
      <c r="R270" s="4" t="s">
        <v>52</v>
      </c>
      <c r="S270" s="4" t="s">
        <v>29</v>
      </c>
      <c r="T270" s="4" t="s">
        <v>68</v>
      </c>
      <c r="U270" s="4" t="s">
        <v>91</v>
      </c>
    </row>
    <row r="271" spans="1:21" x14ac:dyDescent="0.25">
      <c r="A271" s="4" t="s">
        <v>368</v>
      </c>
      <c r="B271" s="1">
        <v>45607</v>
      </c>
      <c r="C271" s="4" t="s">
        <v>423</v>
      </c>
      <c r="D271" s="4" t="s">
        <v>407</v>
      </c>
      <c r="E271" s="1">
        <v>45626</v>
      </c>
      <c r="F271" s="4" t="s">
        <v>80</v>
      </c>
      <c r="G271" s="4" t="s">
        <v>42</v>
      </c>
      <c r="H271" s="4" t="s">
        <v>71</v>
      </c>
      <c r="I271" s="4" t="s">
        <v>43</v>
      </c>
      <c r="J271" s="4" t="s">
        <v>25</v>
      </c>
      <c r="K271" s="3">
        <v>543</v>
      </c>
      <c r="L271" s="5">
        <v>35</v>
      </c>
      <c r="M271" s="3">
        <v>19005</v>
      </c>
      <c r="N271" s="3">
        <f>AVERAGE(Mobile_Phone_Sales[[#This Row],[Total_Revenue]]/Mobile_Phone_Sales[[#This Row],[Units_Sold]])</f>
        <v>543</v>
      </c>
      <c r="O271" s="4" t="s">
        <v>65</v>
      </c>
      <c r="P271" s="4" t="s">
        <v>36</v>
      </c>
      <c r="Q271" s="5">
        <v>40</v>
      </c>
      <c r="R271" s="4" t="s">
        <v>28</v>
      </c>
      <c r="S271" s="4" t="s">
        <v>45</v>
      </c>
      <c r="T271" s="4" t="s">
        <v>53</v>
      </c>
      <c r="U271" s="4" t="s">
        <v>54</v>
      </c>
    </row>
    <row r="272" spans="1:21" x14ac:dyDescent="0.25">
      <c r="A272" s="4" t="s">
        <v>369</v>
      </c>
      <c r="B272" s="1">
        <v>45609</v>
      </c>
      <c r="C272" s="4" t="s">
        <v>423</v>
      </c>
      <c r="D272" s="4" t="s">
        <v>409</v>
      </c>
      <c r="E272" s="1">
        <v>45626</v>
      </c>
      <c r="F272" s="4" t="s">
        <v>21</v>
      </c>
      <c r="G272" s="4" t="s">
        <v>22</v>
      </c>
      <c r="H272" s="4" t="s">
        <v>23</v>
      </c>
      <c r="I272" s="4" t="s">
        <v>34</v>
      </c>
      <c r="J272" s="4" t="s">
        <v>25</v>
      </c>
      <c r="K272" s="3">
        <v>503</v>
      </c>
      <c r="L272" s="5">
        <v>36</v>
      </c>
      <c r="M272" s="3">
        <v>18108</v>
      </c>
      <c r="N272" s="3">
        <f>AVERAGE(Mobile_Phone_Sales[[#This Row],[Total_Revenue]]/Mobile_Phone_Sales[[#This Row],[Units_Sold]])</f>
        <v>503</v>
      </c>
      <c r="O272" s="4" t="s">
        <v>26</v>
      </c>
      <c r="P272" s="4" t="s">
        <v>27</v>
      </c>
      <c r="Q272" s="5">
        <v>48</v>
      </c>
      <c r="R272" s="4" t="s">
        <v>59</v>
      </c>
      <c r="S272" s="4" t="s">
        <v>29</v>
      </c>
      <c r="T272" s="4" t="s">
        <v>68</v>
      </c>
      <c r="U272" s="4" t="s">
        <v>69</v>
      </c>
    </row>
    <row r="273" spans="1:21" x14ac:dyDescent="0.25">
      <c r="A273" s="4" t="s">
        <v>370</v>
      </c>
      <c r="B273" s="1">
        <v>45610</v>
      </c>
      <c r="C273" s="4" t="s">
        <v>423</v>
      </c>
      <c r="D273" s="4" t="s">
        <v>410</v>
      </c>
      <c r="E273" s="1">
        <v>45626</v>
      </c>
      <c r="F273" s="4" t="s">
        <v>56</v>
      </c>
      <c r="G273" s="4" t="s">
        <v>57</v>
      </c>
      <c r="H273" s="4" t="s">
        <v>23</v>
      </c>
      <c r="I273" s="4" t="s">
        <v>24</v>
      </c>
      <c r="J273" s="4" t="s">
        <v>25</v>
      </c>
      <c r="K273" s="3">
        <v>1877</v>
      </c>
      <c r="L273" s="5">
        <v>66</v>
      </c>
      <c r="M273" s="3">
        <v>123882</v>
      </c>
      <c r="N273" s="3">
        <f>AVERAGE(Mobile_Phone_Sales[[#This Row],[Total_Revenue]]/Mobile_Phone_Sales[[#This Row],[Units_Sold]])</f>
        <v>1877</v>
      </c>
      <c r="O273" s="4" t="s">
        <v>65</v>
      </c>
      <c r="P273" s="4" t="s">
        <v>51</v>
      </c>
      <c r="Q273" s="5">
        <v>32</v>
      </c>
      <c r="R273" s="4" t="s">
        <v>52</v>
      </c>
      <c r="S273" s="4" t="s">
        <v>29</v>
      </c>
      <c r="T273" s="4" t="s">
        <v>68</v>
      </c>
      <c r="U273" s="4" t="s">
        <v>91</v>
      </c>
    </row>
    <row r="274" spans="1:21" x14ac:dyDescent="0.25">
      <c r="A274" s="4" t="s">
        <v>371</v>
      </c>
      <c r="B274" s="1">
        <v>45612</v>
      </c>
      <c r="C274" s="4" t="s">
        <v>423</v>
      </c>
      <c r="D274" s="4" t="s">
        <v>412</v>
      </c>
      <c r="E274" s="1">
        <v>45626</v>
      </c>
      <c r="F274" s="4" t="s">
        <v>131</v>
      </c>
      <c r="G274" s="4" t="s">
        <v>103</v>
      </c>
      <c r="H274" s="4" t="s">
        <v>23</v>
      </c>
      <c r="I274" s="4" t="s">
        <v>72</v>
      </c>
      <c r="J274" s="4" t="s">
        <v>104</v>
      </c>
      <c r="K274" s="3">
        <v>811</v>
      </c>
      <c r="L274" s="5">
        <v>7</v>
      </c>
      <c r="M274" s="3">
        <v>5677</v>
      </c>
      <c r="N274" s="3">
        <f>AVERAGE(Mobile_Phone_Sales[[#This Row],[Total_Revenue]]/Mobile_Phone_Sales[[#This Row],[Units_Sold]])</f>
        <v>811</v>
      </c>
      <c r="O274" s="4" t="s">
        <v>26</v>
      </c>
      <c r="P274" s="4" t="s">
        <v>51</v>
      </c>
      <c r="Q274" s="5">
        <v>30</v>
      </c>
      <c r="R274" s="4" t="s">
        <v>52</v>
      </c>
      <c r="S274" s="4" t="s">
        <v>29</v>
      </c>
      <c r="T274" s="4" t="s">
        <v>46</v>
      </c>
      <c r="U274" s="4" t="s">
        <v>47</v>
      </c>
    </row>
    <row r="275" spans="1:21" x14ac:dyDescent="0.25">
      <c r="A275" s="4" t="s">
        <v>372</v>
      </c>
      <c r="B275" s="1">
        <v>45616</v>
      </c>
      <c r="C275" s="4" t="s">
        <v>423</v>
      </c>
      <c r="D275" s="4" t="s">
        <v>409</v>
      </c>
      <c r="E275" s="1">
        <v>45626</v>
      </c>
      <c r="F275" s="4" t="s">
        <v>116</v>
      </c>
      <c r="G275" s="4" t="s">
        <v>57</v>
      </c>
      <c r="H275" s="4" t="s">
        <v>33</v>
      </c>
      <c r="I275" s="4" t="s">
        <v>24</v>
      </c>
      <c r="J275" s="4" t="s">
        <v>25</v>
      </c>
      <c r="K275" s="3">
        <v>1247</v>
      </c>
      <c r="L275" s="5">
        <v>30</v>
      </c>
      <c r="M275" s="3">
        <v>37410</v>
      </c>
      <c r="N275" s="3">
        <f>AVERAGE(Mobile_Phone_Sales[[#This Row],[Total_Revenue]]/Mobile_Phone_Sales[[#This Row],[Units_Sold]])</f>
        <v>1247</v>
      </c>
      <c r="O275" s="4" t="s">
        <v>26</v>
      </c>
      <c r="P275" s="4" t="s">
        <v>51</v>
      </c>
      <c r="Q275" s="5">
        <v>53</v>
      </c>
      <c r="R275" s="4" t="s">
        <v>37</v>
      </c>
      <c r="S275" s="4" t="s">
        <v>45</v>
      </c>
      <c r="T275" s="4" t="s">
        <v>68</v>
      </c>
      <c r="U275" s="4" t="s">
        <v>127</v>
      </c>
    </row>
    <row r="276" spans="1:21" x14ac:dyDescent="0.25">
      <c r="A276" s="4" t="s">
        <v>373</v>
      </c>
      <c r="B276" s="1">
        <v>45618</v>
      </c>
      <c r="C276" s="4" t="s">
        <v>423</v>
      </c>
      <c r="D276" s="4" t="s">
        <v>411</v>
      </c>
      <c r="E276" s="1">
        <v>45626</v>
      </c>
      <c r="F276" s="4" t="s">
        <v>41</v>
      </c>
      <c r="G276" s="4" t="s">
        <v>42</v>
      </c>
      <c r="H276" s="4" t="s">
        <v>71</v>
      </c>
      <c r="I276" s="4" t="s">
        <v>24</v>
      </c>
      <c r="J276" s="4" t="s">
        <v>25</v>
      </c>
      <c r="K276" s="3">
        <v>621</v>
      </c>
      <c r="L276" s="5">
        <v>40</v>
      </c>
      <c r="M276" s="3">
        <v>24840</v>
      </c>
      <c r="N276" s="3">
        <f>AVERAGE(Mobile_Phone_Sales[[#This Row],[Total_Revenue]]/Mobile_Phone_Sales[[#This Row],[Units_Sold]])</f>
        <v>621</v>
      </c>
      <c r="O276" s="4" t="s">
        <v>65</v>
      </c>
      <c r="P276" s="4" t="s">
        <v>36</v>
      </c>
      <c r="Q276" s="5">
        <v>48</v>
      </c>
      <c r="R276" s="4" t="s">
        <v>59</v>
      </c>
      <c r="S276" s="4" t="s">
        <v>38</v>
      </c>
      <c r="T276" s="4" t="s">
        <v>68</v>
      </c>
      <c r="U276" s="4" t="s">
        <v>88</v>
      </c>
    </row>
    <row r="277" spans="1:21" x14ac:dyDescent="0.25">
      <c r="A277" s="4" t="s">
        <v>374</v>
      </c>
      <c r="B277" s="1">
        <v>45619</v>
      </c>
      <c r="C277" s="4" t="s">
        <v>423</v>
      </c>
      <c r="D277" s="4" t="s">
        <v>412</v>
      </c>
      <c r="E277" s="1">
        <v>45626</v>
      </c>
      <c r="F277" s="4" t="s">
        <v>129</v>
      </c>
      <c r="G277" s="4" t="s">
        <v>103</v>
      </c>
      <c r="H277" s="4" t="s">
        <v>23</v>
      </c>
      <c r="I277" s="4" t="s">
        <v>24</v>
      </c>
      <c r="J277" s="4" t="s">
        <v>104</v>
      </c>
      <c r="K277" s="3">
        <v>1150</v>
      </c>
      <c r="L277" s="5">
        <v>43</v>
      </c>
      <c r="M277" s="3">
        <v>49450</v>
      </c>
      <c r="N277" s="3">
        <f>AVERAGE(Mobile_Phone_Sales[[#This Row],[Total_Revenue]]/Mobile_Phone_Sales[[#This Row],[Units_Sold]])</f>
        <v>1150</v>
      </c>
      <c r="O277" s="4" t="s">
        <v>65</v>
      </c>
      <c r="P277" s="4" t="s">
        <v>51</v>
      </c>
      <c r="Q277" s="5">
        <v>38</v>
      </c>
      <c r="R277" s="4" t="s">
        <v>28</v>
      </c>
      <c r="S277" s="4" t="s">
        <v>45</v>
      </c>
      <c r="T277" s="4" t="s">
        <v>68</v>
      </c>
      <c r="U277" s="4" t="s">
        <v>132</v>
      </c>
    </row>
    <row r="278" spans="1:21" x14ac:dyDescent="0.25">
      <c r="A278" s="4" t="s">
        <v>375</v>
      </c>
      <c r="B278" s="1">
        <v>45623</v>
      </c>
      <c r="C278" s="4" t="s">
        <v>423</v>
      </c>
      <c r="D278" s="4" t="s">
        <v>409</v>
      </c>
      <c r="E278" s="1">
        <v>45626</v>
      </c>
      <c r="F278" s="4" t="s">
        <v>82</v>
      </c>
      <c r="G278" s="4" t="s">
        <v>50</v>
      </c>
      <c r="H278" s="4" t="s">
        <v>23</v>
      </c>
      <c r="I278" s="4" t="s">
        <v>43</v>
      </c>
      <c r="J278" s="4" t="s">
        <v>25</v>
      </c>
      <c r="K278" s="3">
        <v>531</v>
      </c>
      <c r="L278" s="5">
        <v>21</v>
      </c>
      <c r="M278" s="3">
        <v>11151</v>
      </c>
      <c r="N278" s="3">
        <f>AVERAGE(Mobile_Phone_Sales[[#This Row],[Total_Revenue]]/Mobile_Phone_Sales[[#This Row],[Units_Sold]])</f>
        <v>531</v>
      </c>
      <c r="O278" s="4" t="s">
        <v>26</v>
      </c>
      <c r="P278" s="4" t="s">
        <v>27</v>
      </c>
      <c r="Q278" s="5">
        <v>49</v>
      </c>
      <c r="R278" s="4" t="s">
        <v>59</v>
      </c>
      <c r="S278" s="4" t="s">
        <v>45</v>
      </c>
      <c r="T278" s="4" t="s">
        <v>68</v>
      </c>
      <c r="U278" s="4" t="s">
        <v>69</v>
      </c>
    </row>
    <row r="279" spans="1:21" x14ac:dyDescent="0.25">
      <c r="A279" s="4" t="s">
        <v>376</v>
      </c>
      <c r="B279" s="1">
        <v>45624</v>
      </c>
      <c r="C279" s="4" t="s">
        <v>423</v>
      </c>
      <c r="D279" s="4" t="s">
        <v>410</v>
      </c>
      <c r="E279" s="1">
        <v>45626</v>
      </c>
      <c r="F279" s="4" t="s">
        <v>49</v>
      </c>
      <c r="G279" s="4" t="s">
        <v>50</v>
      </c>
      <c r="H279" s="4" t="s">
        <v>23</v>
      </c>
      <c r="I279" s="4" t="s">
        <v>58</v>
      </c>
      <c r="J279" s="4" t="s">
        <v>25</v>
      </c>
      <c r="K279" s="3">
        <v>315</v>
      </c>
      <c r="L279" s="5">
        <v>92</v>
      </c>
      <c r="M279" s="3">
        <v>28980</v>
      </c>
      <c r="N279" s="3">
        <f>AVERAGE(Mobile_Phone_Sales[[#This Row],[Total_Revenue]]/Mobile_Phone_Sales[[#This Row],[Units_Sold]])</f>
        <v>315</v>
      </c>
      <c r="O279" s="4" t="s">
        <v>26</v>
      </c>
      <c r="P279" s="4" t="s">
        <v>27</v>
      </c>
      <c r="Q279" s="5">
        <v>33</v>
      </c>
      <c r="R279" s="4" t="s">
        <v>52</v>
      </c>
      <c r="S279" s="4" t="s">
        <v>45</v>
      </c>
      <c r="T279" s="4" t="s">
        <v>53</v>
      </c>
      <c r="U279" s="4" t="s">
        <v>73</v>
      </c>
    </row>
    <row r="280" spans="1:21" x14ac:dyDescent="0.25">
      <c r="A280" s="4" t="s">
        <v>377</v>
      </c>
      <c r="B280" s="1">
        <v>45626</v>
      </c>
      <c r="C280" s="4" t="s">
        <v>423</v>
      </c>
      <c r="D280" s="4" t="s">
        <v>412</v>
      </c>
      <c r="E280" s="1">
        <v>45626</v>
      </c>
      <c r="F280" s="4" t="s">
        <v>102</v>
      </c>
      <c r="G280" s="4" t="s">
        <v>103</v>
      </c>
      <c r="H280" s="4" t="s">
        <v>33</v>
      </c>
      <c r="I280" s="4" t="s">
        <v>43</v>
      </c>
      <c r="J280" s="4" t="s">
        <v>104</v>
      </c>
      <c r="K280" s="3">
        <v>1045</v>
      </c>
      <c r="L280" s="5">
        <v>23</v>
      </c>
      <c r="M280" s="3">
        <v>24035</v>
      </c>
      <c r="N280" s="3">
        <f>AVERAGE(Mobile_Phone_Sales[[#This Row],[Total_Revenue]]/Mobile_Phone_Sales[[#This Row],[Units_Sold]])</f>
        <v>1045</v>
      </c>
      <c r="O280" s="4" t="s">
        <v>65</v>
      </c>
      <c r="P280" s="4" t="s">
        <v>44</v>
      </c>
      <c r="Q280" s="5">
        <v>32</v>
      </c>
      <c r="R280" s="4" t="s">
        <v>52</v>
      </c>
      <c r="S280" s="4" t="s">
        <v>29</v>
      </c>
      <c r="T280" s="4" t="s">
        <v>46</v>
      </c>
      <c r="U280" s="4" t="s">
        <v>60</v>
      </c>
    </row>
    <row r="281" spans="1:21" x14ac:dyDescent="0.25">
      <c r="A281" s="4" t="s">
        <v>378</v>
      </c>
      <c r="B281" s="1">
        <v>45627</v>
      </c>
      <c r="C281" s="4" t="s">
        <v>424</v>
      </c>
      <c r="D281" s="4" t="s">
        <v>413</v>
      </c>
      <c r="E281" s="1">
        <v>45657</v>
      </c>
      <c r="F281" s="4" t="s">
        <v>131</v>
      </c>
      <c r="G281" s="4" t="s">
        <v>103</v>
      </c>
      <c r="H281" s="4" t="s">
        <v>71</v>
      </c>
      <c r="I281" s="4" t="s">
        <v>43</v>
      </c>
      <c r="J281" s="4" t="s">
        <v>104</v>
      </c>
      <c r="K281" s="3">
        <v>892</v>
      </c>
      <c r="L281" s="5">
        <v>58</v>
      </c>
      <c r="M281" s="3">
        <v>51736</v>
      </c>
      <c r="N281" s="3">
        <f>AVERAGE(Mobile_Phone_Sales[[#This Row],[Total_Revenue]]/Mobile_Phone_Sales[[#This Row],[Units_Sold]])</f>
        <v>892</v>
      </c>
      <c r="O281" s="4" t="s">
        <v>26</v>
      </c>
      <c r="P281" s="4" t="s">
        <v>44</v>
      </c>
      <c r="Q281" s="5">
        <v>42</v>
      </c>
      <c r="R281" s="4" t="s">
        <v>59</v>
      </c>
      <c r="S281" s="4" t="s">
        <v>29</v>
      </c>
      <c r="T281" s="4" t="s">
        <v>53</v>
      </c>
      <c r="U281" s="4" t="s">
        <v>100</v>
      </c>
    </row>
    <row r="282" spans="1:21" x14ac:dyDescent="0.25">
      <c r="A282" s="4" t="s">
        <v>379</v>
      </c>
      <c r="B282" s="1">
        <v>45629</v>
      </c>
      <c r="C282" s="4" t="s">
        <v>424</v>
      </c>
      <c r="D282" s="4" t="s">
        <v>408</v>
      </c>
      <c r="E282" s="1">
        <v>45657</v>
      </c>
      <c r="F282" s="4" t="s">
        <v>78</v>
      </c>
      <c r="G282" s="4" t="s">
        <v>22</v>
      </c>
      <c r="H282" s="4" t="s">
        <v>71</v>
      </c>
      <c r="I282" s="4" t="s">
        <v>24</v>
      </c>
      <c r="J282" s="4" t="s">
        <v>25</v>
      </c>
      <c r="K282" s="3">
        <v>715</v>
      </c>
      <c r="L282" s="5">
        <v>59</v>
      </c>
      <c r="M282" s="3">
        <v>42185</v>
      </c>
      <c r="N282" s="3">
        <f>AVERAGE(Mobile_Phone_Sales[[#This Row],[Total_Revenue]]/Mobile_Phone_Sales[[#This Row],[Units_Sold]])</f>
        <v>715</v>
      </c>
      <c r="O282" s="4" t="s">
        <v>65</v>
      </c>
      <c r="P282" s="4" t="s">
        <v>27</v>
      </c>
      <c r="Q282" s="5">
        <v>53</v>
      </c>
      <c r="R282" s="4" t="s">
        <v>37</v>
      </c>
      <c r="S282" s="4" t="s">
        <v>45</v>
      </c>
      <c r="T282" s="4" t="s">
        <v>68</v>
      </c>
      <c r="U282" s="4" t="s">
        <v>170</v>
      </c>
    </row>
    <row r="283" spans="1:21" x14ac:dyDescent="0.25">
      <c r="A283" s="4" t="s">
        <v>380</v>
      </c>
      <c r="B283" s="1">
        <v>45630</v>
      </c>
      <c r="C283" s="4" t="s">
        <v>424</v>
      </c>
      <c r="D283" s="4" t="s">
        <v>409</v>
      </c>
      <c r="E283" s="1">
        <v>45657</v>
      </c>
      <c r="F283" s="4" t="s">
        <v>126</v>
      </c>
      <c r="G283" s="4" t="s">
        <v>103</v>
      </c>
      <c r="H283" s="4" t="s">
        <v>71</v>
      </c>
      <c r="I283" s="4" t="s">
        <v>34</v>
      </c>
      <c r="J283" s="4" t="s">
        <v>104</v>
      </c>
      <c r="K283" s="3">
        <v>887</v>
      </c>
      <c r="L283" s="5">
        <v>10</v>
      </c>
      <c r="M283" s="3">
        <v>8870</v>
      </c>
      <c r="N283" s="3">
        <f>AVERAGE(Mobile_Phone_Sales[[#This Row],[Total_Revenue]]/Mobile_Phone_Sales[[#This Row],[Units_Sold]])</f>
        <v>887</v>
      </c>
      <c r="O283" s="4" t="s">
        <v>65</v>
      </c>
      <c r="P283" s="4" t="s">
        <v>44</v>
      </c>
      <c r="Q283" s="5">
        <v>38</v>
      </c>
      <c r="R283" s="4" t="s">
        <v>28</v>
      </c>
      <c r="S283" s="4" t="s">
        <v>45</v>
      </c>
      <c r="T283" s="4" t="s">
        <v>46</v>
      </c>
      <c r="U283" s="4" t="s">
        <v>111</v>
      </c>
    </row>
    <row r="284" spans="1:21" x14ac:dyDescent="0.25">
      <c r="A284" s="4" t="s">
        <v>381</v>
      </c>
      <c r="B284" s="1">
        <v>45631</v>
      </c>
      <c r="C284" s="4" t="s">
        <v>424</v>
      </c>
      <c r="D284" s="4" t="s">
        <v>410</v>
      </c>
      <c r="E284" s="1">
        <v>45657</v>
      </c>
      <c r="F284" s="4" t="s">
        <v>116</v>
      </c>
      <c r="G284" s="4" t="s">
        <v>57</v>
      </c>
      <c r="H284" s="4" t="s">
        <v>71</v>
      </c>
      <c r="I284" s="4" t="s">
        <v>24</v>
      </c>
      <c r="J284" s="4" t="s">
        <v>25</v>
      </c>
      <c r="K284" s="3">
        <v>1239</v>
      </c>
      <c r="L284" s="5">
        <v>34</v>
      </c>
      <c r="M284" s="3">
        <v>42126</v>
      </c>
      <c r="N284" s="3">
        <f>AVERAGE(Mobile_Phone_Sales[[#This Row],[Total_Revenue]]/Mobile_Phone_Sales[[#This Row],[Units_Sold]])</f>
        <v>1239</v>
      </c>
      <c r="O284" s="4" t="s">
        <v>26</v>
      </c>
      <c r="P284" s="4" t="s">
        <v>27</v>
      </c>
      <c r="Q284" s="5">
        <v>37</v>
      </c>
      <c r="R284" s="4" t="s">
        <v>28</v>
      </c>
      <c r="S284" s="4" t="s">
        <v>45</v>
      </c>
      <c r="T284" s="4" t="s">
        <v>53</v>
      </c>
      <c r="U284" s="4" t="s">
        <v>73</v>
      </c>
    </row>
    <row r="285" spans="1:21" x14ac:dyDescent="0.25">
      <c r="A285" s="4" t="s">
        <v>382</v>
      </c>
      <c r="B285" s="1">
        <v>45633</v>
      </c>
      <c r="C285" s="4" t="s">
        <v>424</v>
      </c>
      <c r="D285" s="4" t="s">
        <v>412</v>
      </c>
      <c r="E285" s="1">
        <v>45657</v>
      </c>
      <c r="F285" s="4" t="s">
        <v>80</v>
      </c>
      <c r="G285" s="4" t="s">
        <v>42</v>
      </c>
      <c r="H285" s="4" t="s">
        <v>23</v>
      </c>
      <c r="I285" s="4" t="s">
        <v>24</v>
      </c>
      <c r="J285" s="4" t="s">
        <v>25</v>
      </c>
      <c r="K285" s="3">
        <v>537</v>
      </c>
      <c r="L285" s="5">
        <v>36</v>
      </c>
      <c r="M285" s="3">
        <v>19332</v>
      </c>
      <c r="N285" s="3">
        <f>AVERAGE(Mobile_Phone_Sales[[#This Row],[Total_Revenue]]/Mobile_Phone_Sales[[#This Row],[Units_Sold]])</f>
        <v>537</v>
      </c>
      <c r="O285" s="4" t="s">
        <v>65</v>
      </c>
      <c r="P285" s="4" t="s">
        <v>27</v>
      </c>
      <c r="Q285" s="5">
        <v>52</v>
      </c>
      <c r="R285" s="4" t="s">
        <v>37</v>
      </c>
      <c r="S285" s="4" t="s">
        <v>29</v>
      </c>
      <c r="T285" s="4" t="s">
        <v>68</v>
      </c>
      <c r="U285" s="4" t="s">
        <v>83</v>
      </c>
    </row>
    <row r="286" spans="1:21" x14ac:dyDescent="0.25">
      <c r="A286" s="4" t="s">
        <v>383</v>
      </c>
      <c r="B286" s="1">
        <v>45634</v>
      </c>
      <c r="C286" s="4" t="s">
        <v>424</v>
      </c>
      <c r="D286" s="4" t="s">
        <v>413</v>
      </c>
      <c r="E286" s="1">
        <v>45657</v>
      </c>
      <c r="F286" s="4" t="s">
        <v>49</v>
      </c>
      <c r="G286" s="4" t="s">
        <v>50</v>
      </c>
      <c r="H286" s="4" t="s">
        <v>23</v>
      </c>
      <c r="I286" s="4" t="s">
        <v>43</v>
      </c>
      <c r="J286" s="4" t="s">
        <v>25</v>
      </c>
      <c r="K286" s="3">
        <v>343</v>
      </c>
      <c r="L286" s="5">
        <v>87</v>
      </c>
      <c r="M286" s="3">
        <v>29841</v>
      </c>
      <c r="N286" s="3">
        <f>AVERAGE(Mobile_Phone_Sales[[#This Row],[Total_Revenue]]/Mobile_Phone_Sales[[#This Row],[Units_Sold]])</f>
        <v>343</v>
      </c>
      <c r="O286" s="4" t="s">
        <v>26</v>
      </c>
      <c r="P286" s="4" t="s">
        <v>36</v>
      </c>
      <c r="Q286" s="5">
        <v>55</v>
      </c>
      <c r="R286" s="4" t="s">
        <v>37</v>
      </c>
      <c r="S286" s="4" t="s">
        <v>29</v>
      </c>
      <c r="T286" s="4" t="s">
        <v>46</v>
      </c>
      <c r="U286" s="4" t="s">
        <v>76</v>
      </c>
    </row>
    <row r="287" spans="1:21" x14ac:dyDescent="0.25">
      <c r="A287" s="4" t="s">
        <v>384</v>
      </c>
      <c r="B287" s="1">
        <v>45637</v>
      </c>
      <c r="C287" s="4" t="s">
        <v>424</v>
      </c>
      <c r="D287" s="4" t="s">
        <v>409</v>
      </c>
      <c r="E287" s="1">
        <v>45657</v>
      </c>
      <c r="F287" s="4" t="s">
        <v>116</v>
      </c>
      <c r="G287" s="4" t="s">
        <v>57</v>
      </c>
      <c r="H287" s="4" t="s">
        <v>71</v>
      </c>
      <c r="I287" s="4" t="s">
        <v>58</v>
      </c>
      <c r="J287" s="4" t="s">
        <v>25</v>
      </c>
      <c r="K287" s="3">
        <v>1207</v>
      </c>
      <c r="L287" s="5">
        <v>35</v>
      </c>
      <c r="M287" s="3">
        <v>42245</v>
      </c>
      <c r="N287" s="3">
        <f>AVERAGE(Mobile_Phone_Sales[[#This Row],[Total_Revenue]]/Mobile_Phone_Sales[[#This Row],[Units_Sold]])</f>
        <v>1207</v>
      </c>
      <c r="O287" s="4" t="s">
        <v>26</v>
      </c>
      <c r="P287" s="4" t="s">
        <v>27</v>
      </c>
      <c r="Q287" s="5">
        <v>20</v>
      </c>
      <c r="R287" s="4" t="s">
        <v>87</v>
      </c>
      <c r="S287" s="4" t="s">
        <v>45</v>
      </c>
      <c r="T287" s="4" t="s">
        <v>68</v>
      </c>
      <c r="U287" s="4" t="s">
        <v>69</v>
      </c>
    </row>
    <row r="288" spans="1:21" x14ac:dyDescent="0.25">
      <c r="A288" s="4" t="s">
        <v>385</v>
      </c>
      <c r="B288" s="1">
        <v>45638</v>
      </c>
      <c r="C288" s="4" t="s">
        <v>424</v>
      </c>
      <c r="D288" s="4" t="s">
        <v>410</v>
      </c>
      <c r="E288" s="1">
        <v>45657</v>
      </c>
      <c r="F288" s="4" t="s">
        <v>96</v>
      </c>
      <c r="G288" s="4" t="s">
        <v>42</v>
      </c>
      <c r="H288" s="4" t="s">
        <v>23</v>
      </c>
      <c r="I288" s="4" t="s">
        <v>58</v>
      </c>
      <c r="J288" s="4" t="s">
        <v>25</v>
      </c>
      <c r="K288" s="3">
        <v>829</v>
      </c>
      <c r="L288" s="5">
        <v>29</v>
      </c>
      <c r="M288" s="3">
        <v>24041</v>
      </c>
      <c r="N288" s="3">
        <f>AVERAGE(Mobile_Phone_Sales[[#This Row],[Total_Revenue]]/Mobile_Phone_Sales[[#This Row],[Units_Sold]])</f>
        <v>829</v>
      </c>
      <c r="O288" s="4" t="s">
        <v>35</v>
      </c>
      <c r="P288" s="4" t="s">
        <v>51</v>
      </c>
      <c r="Q288" s="5">
        <v>42</v>
      </c>
      <c r="R288" s="4" t="s">
        <v>59</v>
      </c>
      <c r="S288" s="4" t="s">
        <v>45</v>
      </c>
      <c r="T288" s="4" t="s">
        <v>68</v>
      </c>
      <c r="U288" s="4" t="s">
        <v>91</v>
      </c>
    </row>
    <row r="289" spans="1:21" x14ac:dyDescent="0.25">
      <c r="A289" s="4" t="s">
        <v>386</v>
      </c>
      <c r="B289" s="1">
        <v>45639</v>
      </c>
      <c r="C289" s="4" t="s">
        <v>424</v>
      </c>
      <c r="D289" s="4" t="s">
        <v>411</v>
      </c>
      <c r="E289" s="1">
        <v>45657</v>
      </c>
      <c r="F289" s="4" t="s">
        <v>131</v>
      </c>
      <c r="G289" s="4" t="s">
        <v>103</v>
      </c>
      <c r="H289" s="4" t="s">
        <v>71</v>
      </c>
      <c r="I289" s="4" t="s">
        <v>72</v>
      </c>
      <c r="J289" s="4" t="s">
        <v>104</v>
      </c>
      <c r="K289" s="3">
        <v>880</v>
      </c>
      <c r="L289" s="5">
        <v>52</v>
      </c>
      <c r="M289" s="3">
        <v>45760</v>
      </c>
      <c r="N289" s="3">
        <f>AVERAGE(Mobile_Phone_Sales[[#This Row],[Total_Revenue]]/Mobile_Phone_Sales[[#This Row],[Units_Sold]])</f>
        <v>880</v>
      </c>
      <c r="O289" s="4" t="s">
        <v>65</v>
      </c>
      <c r="P289" s="4" t="s">
        <v>27</v>
      </c>
      <c r="Q289" s="5">
        <v>63</v>
      </c>
      <c r="R289" s="4" t="s">
        <v>66</v>
      </c>
      <c r="S289" s="4" t="s">
        <v>45</v>
      </c>
      <c r="T289" s="4" t="s">
        <v>53</v>
      </c>
      <c r="U289" s="4" t="s">
        <v>100</v>
      </c>
    </row>
    <row r="290" spans="1:21" x14ac:dyDescent="0.25">
      <c r="A290" s="4" t="s">
        <v>387</v>
      </c>
      <c r="B290" s="1">
        <v>45640</v>
      </c>
      <c r="C290" s="4" t="s">
        <v>424</v>
      </c>
      <c r="D290" s="4" t="s">
        <v>412</v>
      </c>
      <c r="E290" s="1">
        <v>45657</v>
      </c>
      <c r="F290" s="4" t="s">
        <v>102</v>
      </c>
      <c r="G290" s="4" t="s">
        <v>103</v>
      </c>
      <c r="H290" s="4" t="s">
        <v>23</v>
      </c>
      <c r="I290" s="4" t="s">
        <v>34</v>
      </c>
      <c r="J290" s="4" t="s">
        <v>104</v>
      </c>
      <c r="K290" s="3">
        <v>1065</v>
      </c>
      <c r="L290" s="5">
        <v>39</v>
      </c>
      <c r="M290" s="3">
        <v>41535</v>
      </c>
      <c r="N290" s="3">
        <f>AVERAGE(Mobile_Phone_Sales[[#This Row],[Total_Revenue]]/Mobile_Phone_Sales[[#This Row],[Units_Sold]])</f>
        <v>1065</v>
      </c>
      <c r="O290" s="4" t="s">
        <v>26</v>
      </c>
      <c r="P290" s="4" t="s">
        <v>36</v>
      </c>
      <c r="Q290" s="5">
        <v>27</v>
      </c>
      <c r="R290" s="4" t="s">
        <v>52</v>
      </c>
      <c r="S290" s="4" t="s">
        <v>29</v>
      </c>
      <c r="T290" s="4" t="s">
        <v>68</v>
      </c>
      <c r="U290" s="4" t="s">
        <v>91</v>
      </c>
    </row>
    <row r="291" spans="1:21" x14ac:dyDescent="0.25">
      <c r="A291" s="4" t="s">
        <v>388</v>
      </c>
      <c r="B291" s="1">
        <v>45641</v>
      </c>
      <c r="C291" s="4" t="s">
        <v>424</v>
      </c>
      <c r="D291" s="4" t="s">
        <v>413</v>
      </c>
      <c r="E291" s="1">
        <v>45657</v>
      </c>
      <c r="F291" s="4" t="s">
        <v>85</v>
      </c>
      <c r="G291" s="4" t="s">
        <v>22</v>
      </c>
      <c r="H291" s="4" t="s">
        <v>71</v>
      </c>
      <c r="I291" s="4" t="s">
        <v>34</v>
      </c>
      <c r="J291" s="4" t="s">
        <v>25</v>
      </c>
      <c r="K291" s="3">
        <v>1013</v>
      </c>
      <c r="L291" s="5">
        <v>29</v>
      </c>
      <c r="M291" s="3">
        <v>29377</v>
      </c>
      <c r="N291" s="3">
        <f>AVERAGE(Mobile_Phone_Sales[[#This Row],[Total_Revenue]]/Mobile_Phone_Sales[[#This Row],[Units_Sold]])</f>
        <v>1013</v>
      </c>
      <c r="O291" s="4" t="s">
        <v>35</v>
      </c>
      <c r="P291" s="4" t="s">
        <v>36</v>
      </c>
      <c r="Q291" s="5">
        <v>50</v>
      </c>
      <c r="R291" s="4" t="s">
        <v>37</v>
      </c>
      <c r="S291" s="4" t="s">
        <v>38</v>
      </c>
      <c r="T291" s="4" t="s">
        <v>68</v>
      </c>
      <c r="U291" s="4" t="s">
        <v>195</v>
      </c>
    </row>
    <row r="292" spans="1:21" x14ac:dyDescent="0.25">
      <c r="A292" s="4" t="s">
        <v>389</v>
      </c>
      <c r="B292" s="1">
        <v>45643</v>
      </c>
      <c r="C292" s="4" t="s">
        <v>424</v>
      </c>
      <c r="D292" s="4" t="s">
        <v>408</v>
      </c>
      <c r="E292" s="1">
        <v>45657</v>
      </c>
      <c r="F292" s="4" t="s">
        <v>96</v>
      </c>
      <c r="G292" s="4" t="s">
        <v>42</v>
      </c>
      <c r="H292" s="4" t="s">
        <v>71</v>
      </c>
      <c r="I292" s="4" t="s">
        <v>72</v>
      </c>
      <c r="J292" s="4" t="s">
        <v>25</v>
      </c>
      <c r="K292" s="3">
        <v>802</v>
      </c>
      <c r="L292" s="5">
        <v>13</v>
      </c>
      <c r="M292" s="3">
        <v>10426</v>
      </c>
      <c r="N292" s="3">
        <f>AVERAGE(Mobile_Phone_Sales[[#This Row],[Total_Revenue]]/Mobile_Phone_Sales[[#This Row],[Units_Sold]])</f>
        <v>802</v>
      </c>
      <c r="O292" s="4" t="s">
        <v>26</v>
      </c>
      <c r="P292" s="4" t="s">
        <v>44</v>
      </c>
      <c r="Q292" s="5">
        <v>36</v>
      </c>
      <c r="R292" s="4" t="s">
        <v>28</v>
      </c>
      <c r="S292" s="4" t="s">
        <v>29</v>
      </c>
      <c r="T292" s="4" t="s">
        <v>46</v>
      </c>
      <c r="U292" s="4" t="s">
        <v>60</v>
      </c>
    </row>
    <row r="293" spans="1:21" x14ac:dyDescent="0.25">
      <c r="A293" s="4" t="s">
        <v>390</v>
      </c>
      <c r="B293" s="1">
        <v>45644</v>
      </c>
      <c r="C293" s="4" t="s">
        <v>424</v>
      </c>
      <c r="D293" s="4" t="s">
        <v>409</v>
      </c>
      <c r="E293" s="1">
        <v>45657</v>
      </c>
      <c r="F293" s="4" t="s">
        <v>85</v>
      </c>
      <c r="G293" s="4" t="s">
        <v>22</v>
      </c>
      <c r="H293" s="4" t="s">
        <v>33</v>
      </c>
      <c r="I293" s="4" t="s">
        <v>34</v>
      </c>
      <c r="J293" s="4" t="s">
        <v>25</v>
      </c>
      <c r="K293" s="3">
        <v>1029</v>
      </c>
      <c r="L293" s="5">
        <v>95</v>
      </c>
      <c r="M293" s="3">
        <v>97755</v>
      </c>
      <c r="N293" s="3">
        <f>AVERAGE(Mobile_Phone_Sales[[#This Row],[Total_Revenue]]/Mobile_Phone_Sales[[#This Row],[Units_Sold]])</f>
        <v>1029</v>
      </c>
      <c r="O293" s="4" t="s">
        <v>65</v>
      </c>
      <c r="P293" s="4" t="s">
        <v>44</v>
      </c>
      <c r="Q293" s="5">
        <v>36</v>
      </c>
      <c r="R293" s="4" t="s">
        <v>28</v>
      </c>
      <c r="S293" s="4" t="s">
        <v>29</v>
      </c>
      <c r="T293" s="4" t="s">
        <v>53</v>
      </c>
      <c r="U293" s="4" t="s">
        <v>54</v>
      </c>
    </row>
    <row r="294" spans="1:21" x14ac:dyDescent="0.25">
      <c r="A294" s="4" t="s">
        <v>391</v>
      </c>
      <c r="B294" s="1">
        <v>45645</v>
      </c>
      <c r="C294" s="4" t="s">
        <v>424</v>
      </c>
      <c r="D294" s="4" t="s">
        <v>410</v>
      </c>
      <c r="E294" s="1">
        <v>45657</v>
      </c>
      <c r="F294" s="4" t="s">
        <v>80</v>
      </c>
      <c r="G294" s="4" t="s">
        <v>42</v>
      </c>
      <c r="H294" s="4" t="s">
        <v>33</v>
      </c>
      <c r="I294" s="4" t="s">
        <v>58</v>
      </c>
      <c r="J294" s="4" t="s">
        <v>25</v>
      </c>
      <c r="K294" s="3">
        <v>534</v>
      </c>
      <c r="L294" s="5">
        <v>55</v>
      </c>
      <c r="M294" s="3">
        <v>29370</v>
      </c>
      <c r="N294" s="3">
        <f>AVERAGE(Mobile_Phone_Sales[[#This Row],[Total_Revenue]]/Mobile_Phone_Sales[[#This Row],[Units_Sold]])</f>
        <v>534</v>
      </c>
      <c r="O294" s="4" t="s">
        <v>26</v>
      </c>
      <c r="P294" s="4" t="s">
        <v>36</v>
      </c>
      <c r="Q294" s="5">
        <v>33</v>
      </c>
      <c r="R294" s="4" t="s">
        <v>52</v>
      </c>
      <c r="S294" s="4" t="s">
        <v>45</v>
      </c>
      <c r="T294" s="4" t="s">
        <v>53</v>
      </c>
      <c r="U294" s="4" t="s">
        <v>100</v>
      </c>
    </row>
    <row r="295" spans="1:21" x14ac:dyDescent="0.25">
      <c r="A295" s="4" t="s">
        <v>392</v>
      </c>
      <c r="B295" s="1">
        <v>45646</v>
      </c>
      <c r="C295" s="4" t="s">
        <v>424</v>
      </c>
      <c r="D295" s="4" t="s">
        <v>411</v>
      </c>
      <c r="E295" s="1">
        <v>45657</v>
      </c>
      <c r="F295" s="4" t="s">
        <v>116</v>
      </c>
      <c r="G295" s="4" t="s">
        <v>57</v>
      </c>
      <c r="H295" s="4" t="s">
        <v>33</v>
      </c>
      <c r="I295" s="4" t="s">
        <v>43</v>
      </c>
      <c r="J295" s="4" t="s">
        <v>25</v>
      </c>
      <c r="K295" s="3">
        <v>1260</v>
      </c>
      <c r="L295" s="5">
        <v>66</v>
      </c>
      <c r="M295" s="3">
        <v>83160</v>
      </c>
      <c r="N295" s="3">
        <f>AVERAGE(Mobile_Phone_Sales[[#This Row],[Total_Revenue]]/Mobile_Phone_Sales[[#This Row],[Units_Sold]])</f>
        <v>1260</v>
      </c>
      <c r="O295" s="4" t="s">
        <v>65</v>
      </c>
      <c r="P295" s="4" t="s">
        <v>36</v>
      </c>
      <c r="Q295" s="5">
        <v>32</v>
      </c>
      <c r="R295" s="4" t="s">
        <v>52</v>
      </c>
      <c r="S295" s="4" t="s">
        <v>45</v>
      </c>
      <c r="T295" s="4" t="s">
        <v>68</v>
      </c>
      <c r="U295" s="4" t="s">
        <v>195</v>
      </c>
    </row>
    <row r="296" spans="1:21" x14ac:dyDescent="0.25">
      <c r="A296" s="4" t="s">
        <v>393</v>
      </c>
      <c r="B296" s="1">
        <v>45647</v>
      </c>
      <c r="C296" s="4" t="s">
        <v>424</v>
      </c>
      <c r="D296" s="4" t="s">
        <v>412</v>
      </c>
      <c r="E296" s="1">
        <v>45657</v>
      </c>
      <c r="F296" s="4" t="s">
        <v>116</v>
      </c>
      <c r="G296" s="4" t="s">
        <v>57</v>
      </c>
      <c r="H296" s="4" t="s">
        <v>33</v>
      </c>
      <c r="I296" s="4" t="s">
        <v>43</v>
      </c>
      <c r="J296" s="4" t="s">
        <v>25</v>
      </c>
      <c r="K296" s="3">
        <v>1211</v>
      </c>
      <c r="L296" s="5">
        <v>85</v>
      </c>
      <c r="M296" s="3">
        <v>102935</v>
      </c>
      <c r="N296" s="3">
        <f>AVERAGE(Mobile_Phone_Sales[[#This Row],[Total_Revenue]]/Mobile_Phone_Sales[[#This Row],[Units_Sold]])</f>
        <v>1211</v>
      </c>
      <c r="O296" s="4" t="s">
        <v>26</v>
      </c>
      <c r="P296" s="4" t="s">
        <v>51</v>
      </c>
      <c r="Q296" s="5">
        <v>47</v>
      </c>
      <c r="R296" s="4" t="s">
        <v>59</v>
      </c>
      <c r="S296" s="4" t="s">
        <v>45</v>
      </c>
      <c r="T296" s="4" t="s">
        <v>68</v>
      </c>
      <c r="U296" s="4" t="s">
        <v>69</v>
      </c>
    </row>
    <row r="297" spans="1:21" x14ac:dyDescent="0.25">
      <c r="A297" s="4" t="s">
        <v>394</v>
      </c>
      <c r="B297" s="1">
        <v>45649</v>
      </c>
      <c r="C297" s="4" t="s">
        <v>424</v>
      </c>
      <c r="D297" s="4" t="s">
        <v>407</v>
      </c>
      <c r="E297" s="1">
        <v>45657</v>
      </c>
      <c r="F297" s="4" t="s">
        <v>126</v>
      </c>
      <c r="G297" s="4" t="s">
        <v>103</v>
      </c>
      <c r="H297" s="4" t="s">
        <v>33</v>
      </c>
      <c r="I297" s="4" t="s">
        <v>72</v>
      </c>
      <c r="J297" s="4" t="s">
        <v>104</v>
      </c>
      <c r="K297" s="3">
        <v>852</v>
      </c>
      <c r="L297" s="5">
        <v>65</v>
      </c>
      <c r="M297" s="3">
        <v>55380</v>
      </c>
      <c r="N297" s="3">
        <f>AVERAGE(Mobile_Phone_Sales[[#This Row],[Total_Revenue]]/Mobile_Phone_Sales[[#This Row],[Units_Sold]])</f>
        <v>852</v>
      </c>
      <c r="O297" s="4" t="s">
        <v>26</v>
      </c>
      <c r="P297" s="4" t="s">
        <v>36</v>
      </c>
      <c r="Q297" s="5">
        <v>35</v>
      </c>
      <c r="R297" s="4" t="s">
        <v>28</v>
      </c>
      <c r="S297" s="4" t="s">
        <v>45</v>
      </c>
      <c r="T297" s="4" t="s">
        <v>68</v>
      </c>
      <c r="U297" s="4" t="s">
        <v>127</v>
      </c>
    </row>
    <row r="298" spans="1:21" x14ac:dyDescent="0.25">
      <c r="A298" s="4" t="s">
        <v>395</v>
      </c>
      <c r="B298" s="1">
        <v>45650</v>
      </c>
      <c r="C298" s="4" t="s">
        <v>424</v>
      </c>
      <c r="D298" s="4" t="s">
        <v>408</v>
      </c>
      <c r="E298" s="1">
        <v>45657</v>
      </c>
      <c r="F298" s="4" t="s">
        <v>75</v>
      </c>
      <c r="G298" s="4" t="s">
        <v>50</v>
      </c>
      <c r="H298" s="4" t="s">
        <v>33</v>
      </c>
      <c r="I298" s="4" t="s">
        <v>43</v>
      </c>
      <c r="J298" s="4" t="s">
        <v>25</v>
      </c>
      <c r="K298" s="3">
        <v>376</v>
      </c>
      <c r="L298" s="5">
        <v>49</v>
      </c>
      <c r="M298" s="3">
        <v>18424</v>
      </c>
      <c r="N298" s="3">
        <f>AVERAGE(Mobile_Phone_Sales[[#This Row],[Total_Revenue]]/Mobile_Phone_Sales[[#This Row],[Units_Sold]])</f>
        <v>376</v>
      </c>
      <c r="O298" s="4" t="s">
        <v>65</v>
      </c>
      <c r="P298" s="4" t="s">
        <v>44</v>
      </c>
      <c r="Q298" s="5">
        <v>38</v>
      </c>
      <c r="R298" s="4" t="s">
        <v>28</v>
      </c>
      <c r="S298" s="4" t="s">
        <v>45</v>
      </c>
      <c r="T298" s="4" t="s">
        <v>46</v>
      </c>
      <c r="U298" s="4" t="s">
        <v>47</v>
      </c>
    </row>
    <row r="299" spans="1:21" x14ac:dyDescent="0.25">
      <c r="A299" s="4" t="s">
        <v>396</v>
      </c>
      <c r="B299" s="1">
        <v>45651</v>
      </c>
      <c r="C299" s="4" t="s">
        <v>424</v>
      </c>
      <c r="D299" s="4" t="s">
        <v>409</v>
      </c>
      <c r="E299" s="1">
        <v>45657</v>
      </c>
      <c r="F299" s="4" t="s">
        <v>64</v>
      </c>
      <c r="G299" s="4" t="s">
        <v>50</v>
      </c>
      <c r="H299" s="4" t="s">
        <v>23</v>
      </c>
      <c r="I299" s="4" t="s">
        <v>43</v>
      </c>
      <c r="J299" s="4" t="s">
        <v>25</v>
      </c>
      <c r="K299" s="3">
        <v>804</v>
      </c>
      <c r="L299" s="5">
        <v>94</v>
      </c>
      <c r="M299" s="3">
        <v>75576</v>
      </c>
      <c r="N299" s="3">
        <f>AVERAGE(Mobile_Phone_Sales[[#This Row],[Total_Revenue]]/Mobile_Phone_Sales[[#This Row],[Units_Sold]])</f>
        <v>804</v>
      </c>
      <c r="O299" s="4" t="s">
        <v>26</v>
      </c>
      <c r="P299" s="4" t="s">
        <v>44</v>
      </c>
      <c r="Q299" s="5">
        <v>33</v>
      </c>
      <c r="R299" s="4" t="s">
        <v>52</v>
      </c>
      <c r="S299" s="4" t="s">
        <v>45</v>
      </c>
      <c r="T299" s="4" t="s">
        <v>46</v>
      </c>
      <c r="U299" s="4" t="s">
        <v>111</v>
      </c>
    </row>
    <row r="300" spans="1:21" x14ac:dyDescent="0.25">
      <c r="A300" s="4" t="s">
        <v>397</v>
      </c>
      <c r="B300" s="1">
        <v>45652</v>
      </c>
      <c r="C300" s="4" t="s">
        <v>424</v>
      </c>
      <c r="D300" s="4" t="s">
        <v>410</v>
      </c>
      <c r="E300" s="1">
        <v>45657</v>
      </c>
      <c r="F300" s="4" t="s">
        <v>102</v>
      </c>
      <c r="G300" s="4" t="s">
        <v>103</v>
      </c>
      <c r="H300" s="4" t="s">
        <v>23</v>
      </c>
      <c r="I300" s="4" t="s">
        <v>24</v>
      </c>
      <c r="J300" s="4" t="s">
        <v>104</v>
      </c>
      <c r="K300" s="3">
        <v>1097</v>
      </c>
      <c r="L300" s="5">
        <v>3</v>
      </c>
      <c r="M300" s="3">
        <v>3291</v>
      </c>
      <c r="N300" s="3">
        <f>AVERAGE(Mobile_Phone_Sales[[#This Row],[Total_Revenue]]/Mobile_Phone_Sales[[#This Row],[Units_Sold]])</f>
        <v>1097</v>
      </c>
      <c r="O300" s="4" t="s">
        <v>26</v>
      </c>
      <c r="P300" s="4" t="s">
        <v>36</v>
      </c>
      <c r="Q300" s="5">
        <v>43</v>
      </c>
      <c r="R300" s="4" t="s">
        <v>59</v>
      </c>
      <c r="S300" s="4" t="s">
        <v>29</v>
      </c>
      <c r="T300" s="4" t="s">
        <v>53</v>
      </c>
      <c r="U300" s="4" t="s">
        <v>54</v>
      </c>
    </row>
    <row r="301" spans="1:21" x14ac:dyDescent="0.25">
      <c r="A301" s="4" t="s">
        <v>398</v>
      </c>
      <c r="B301" s="1">
        <v>45653</v>
      </c>
      <c r="C301" s="4" t="s">
        <v>424</v>
      </c>
      <c r="D301" s="4" t="s">
        <v>411</v>
      </c>
      <c r="E301" s="1">
        <v>45657</v>
      </c>
      <c r="F301" s="4" t="s">
        <v>96</v>
      </c>
      <c r="G301" s="4" t="s">
        <v>42</v>
      </c>
      <c r="H301" s="4" t="s">
        <v>33</v>
      </c>
      <c r="I301" s="4" t="s">
        <v>24</v>
      </c>
      <c r="J301" s="4" t="s">
        <v>25</v>
      </c>
      <c r="K301" s="3">
        <v>829</v>
      </c>
      <c r="L301" s="5">
        <v>21</v>
      </c>
      <c r="M301" s="3">
        <v>17409</v>
      </c>
      <c r="N301" s="3">
        <f>AVERAGE(Mobile_Phone_Sales[[#This Row],[Total_Revenue]]/Mobile_Phone_Sales[[#This Row],[Units_Sold]])</f>
        <v>829</v>
      </c>
      <c r="O301" s="4" t="s">
        <v>26</v>
      </c>
      <c r="P301" s="4" t="s">
        <v>44</v>
      </c>
      <c r="Q301" s="5">
        <v>19</v>
      </c>
      <c r="R301" s="4" t="s">
        <v>87</v>
      </c>
      <c r="S301" s="4" t="s">
        <v>45</v>
      </c>
      <c r="T301" s="4" t="s">
        <v>68</v>
      </c>
      <c r="U301" s="4" t="s">
        <v>127</v>
      </c>
    </row>
    <row r="302" spans="1:21" x14ac:dyDescent="0.25">
      <c r="A302" s="4" t="s">
        <v>399</v>
      </c>
      <c r="B302" s="1">
        <v>45654</v>
      </c>
      <c r="C302" s="4" t="s">
        <v>424</v>
      </c>
      <c r="D302" s="4" t="s">
        <v>412</v>
      </c>
      <c r="E302" s="1">
        <v>45657</v>
      </c>
      <c r="F302" s="4" t="s">
        <v>21</v>
      </c>
      <c r="G302" s="4" t="s">
        <v>22</v>
      </c>
      <c r="H302" s="4" t="s">
        <v>71</v>
      </c>
      <c r="I302" s="4" t="s">
        <v>24</v>
      </c>
      <c r="J302" s="4" t="s">
        <v>25</v>
      </c>
      <c r="K302" s="3">
        <v>539</v>
      </c>
      <c r="L302" s="5">
        <v>18</v>
      </c>
      <c r="M302" s="3">
        <v>9702</v>
      </c>
      <c r="N302" s="3">
        <f>AVERAGE(Mobile_Phone_Sales[[#This Row],[Total_Revenue]]/Mobile_Phone_Sales[[#This Row],[Units_Sold]])</f>
        <v>539</v>
      </c>
      <c r="O302" s="4" t="s">
        <v>26</v>
      </c>
      <c r="P302" s="4" t="s">
        <v>44</v>
      </c>
      <c r="Q302" s="5">
        <v>44</v>
      </c>
      <c r="R302" s="4" t="s">
        <v>59</v>
      </c>
      <c r="S302" s="4" t="s">
        <v>45</v>
      </c>
      <c r="T302" s="4" t="s">
        <v>53</v>
      </c>
      <c r="U302" s="4" t="s">
        <v>94</v>
      </c>
    </row>
    <row r="303" spans="1:21" x14ac:dyDescent="0.25">
      <c r="A303" s="4" t="s">
        <v>400</v>
      </c>
      <c r="B303" s="1">
        <v>45656</v>
      </c>
      <c r="C303" s="4" t="s">
        <v>424</v>
      </c>
      <c r="D303" s="4" t="s">
        <v>407</v>
      </c>
      <c r="E303" s="1">
        <v>45657</v>
      </c>
      <c r="F303" s="4" t="s">
        <v>126</v>
      </c>
      <c r="G303" s="4" t="s">
        <v>103</v>
      </c>
      <c r="H303" s="4" t="s">
        <v>33</v>
      </c>
      <c r="I303" s="4" t="s">
        <v>58</v>
      </c>
      <c r="J303" s="4" t="s">
        <v>104</v>
      </c>
      <c r="K303" s="3">
        <v>877</v>
      </c>
      <c r="L303" s="5">
        <v>88</v>
      </c>
      <c r="M303" s="3">
        <v>77176</v>
      </c>
      <c r="N303" s="3">
        <f>AVERAGE(Mobile_Phone_Sales[[#This Row],[Total_Revenue]]/Mobile_Phone_Sales[[#This Row],[Units_Sold]])</f>
        <v>877</v>
      </c>
      <c r="O303" s="4" t="s">
        <v>65</v>
      </c>
      <c r="P303" s="4" t="s">
        <v>44</v>
      </c>
      <c r="Q303" s="5">
        <v>61</v>
      </c>
      <c r="R303" s="4" t="s">
        <v>66</v>
      </c>
      <c r="S303" s="4" t="s">
        <v>29</v>
      </c>
      <c r="T303" s="4" t="s">
        <v>53</v>
      </c>
      <c r="U303" s="4" t="s">
        <v>54</v>
      </c>
    </row>
    <row r="304" spans="1:21" x14ac:dyDescent="0.25">
      <c r="A304" s="4" t="s">
        <v>401</v>
      </c>
      <c r="B304" s="1">
        <v>45657</v>
      </c>
      <c r="C304" s="4" t="s">
        <v>424</v>
      </c>
      <c r="D304" s="4" t="s">
        <v>408</v>
      </c>
      <c r="E304" s="1">
        <v>45657</v>
      </c>
      <c r="F304" s="4" t="s">
        <v>116</v>
      </c>
      <c r="G304" s="4" t="s">
        <v>57</v>
      </c>
      <c r="H304" s="4" t="s">
        <v>23</v>
      </c>
      <c r="I304" s="4" t="s">
        <v>72</v>
      </c>
      <c r="J304" s="4" t="s">
        <v>25</v>
      </c>
      <c r="K304" s="3">
        <v>1242</v>
      </c>
      <c r="L304" s="5">
        <v>97</v>
      </c>
      <c r="M304" s="3">
        <v>120474</v>
      </c>
      <c r="N304" s="3">
        <f>AVERAGE(Mobile_Phone_Sales[[#This Row],[Total_Revenue]]/Mobile_Phone_Sales[[#This Row],[Units_Sold]])</f>
        <v>1242</v>
      </c>
      <c r="O304" s="4" t="s">
        <v>65</v>
      </c>
      <c r="P304" s="4" t="s">
        <v>36</v>
      </c>
      <c r="Q304" s="5">
        <v>20</v>
      </c>
      <c r="R304" s="4" t="s">
        <v>87</v>
      </c>
      <c r="S304" s="4" t="s">
        <v>29</v>
      </c>
      <c r="T304" s="4" t="s">
        <v>53</v>
      </c>
      <c r="U304" s="4" t="s">
        <v>94</v>
      </c>
    </row>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EA60-72E6-4586-BDF4-7D60EC343E9C}">
  <dimension ref="A3:I53"/>
  <sheetViews>
    <sheetView zoomScale="92" workbookViewId="0">
      <selection activeCell="I27" sqref="I27"/>
    </sheetView>
  </sheetViews>
  <sheetFormatPr defaultRowHeight="18" x14ac:dyDescent="0.25"/>
  <cols>
    <col min="1" max="1" width="9.6328125" bestFit="1" customWidth="1"/>
    <col min="2" max="2" width="17.90625" bestFit="1" customWidth="1"/>
    <col min="3" max="3" width="9.81640625" bestFit="1" customWidth="1"/>
    <col min="4" max="4" width="9.6328125" bestFit="1" customWidth="1"/>
    <col min="5" max="5" width="16.7265625" bestFit="1" customWidth="1"/>
    <col min="6" max="6" width="6.81640625" customWidth="1"/>
    <col min="7" max="7" width="9.6328125" bestFit="1" customWidth="1"/>
    <col min="8" max="8" width="20.7265625" bestFit="1" customWidth="1"/>
    <col min="9" max="9" width="19.7265625" customWidth="1"/>
  </cols>
  <sheetData>
    <row r="3" spans="1:9" x14ac:dyDescent="0.25">
      <c r="A3" s="6" t="s">
        <v>430</v>
      </c>
      <c r="B3" s="6"/>
      <c r="C3" s="6" t="s">
        <v>429</v>
      </c>
      <c r="D3" s="6"/>
      <c r="E3" s="6" t="s">
        <v>428</v>
      </c>
      <c r="F3" s="6"/>
      <c r="G3" s="6" t="s">
        <v>425</v>
      </c>
      <c r="H3" s="8" t="s">
        <v>427</v>
      </c>
    </row>
    <row r="4" spans="1:9" x14ac:dyDescent="0.25">
      <c r="A4" s="9">
        <v>12160093</v>
      </c>
      <c r="B4" s="10"/>
      <c r="C4" s="11">
        <v>15386</v>
      </c>
      <c r="D4" s="10"/>
      <c r="E4" s="12">
        <v>5</v>
      </c>
      <c r="F4" s="10"/>
      <c r="G4" s="12">
        <v>303</v>
      </c>
      <c r="H4" s="9">
        <v>239463</v>
      </c>
    </row>
    <row r="5" spans="1:9" x14ac:dyDescent="0.25">
      <c r="A5" s="9">
        <f>A4</f>
        <v>12160093</v>
      </c>
      <c r="B5" s="10"/>
      <c r="C5" s="11">
        <f>C4</f>
        <v>15386</v>
      </c>
      <c r="D5" s="10"/>
      <c r="E5" s="12">
        <f>E4</f>
        <v>5</v>
      </c>
      <c r="F5" s="10"/>
      <c r="G5" s="12">
        <f>G4</f>
        <v>303</v>
      </c>
      <c r="H5" s="9">
        <f>H4</f>
        <v>239463</v>
      </c>
      <c r="I5" s="3"/>
    </row>
    <row r="6" spans="1:9" ht="18.75" customHeight="1" x14ac:dyDescent="0.25">
      <c r="A6" s="10"/>
      <c r="B6" s="10"/>
      <c r="C6" s="10"/>
      <c r="D6" s="10"/>
      <c r="E6" s="10"/>
      <c r="F6" s="10"/>
      <c r="G6" s="10"/>
      <c r="H6" s="10"/>
    </row>
    <row r="7" spans="1:9" x14ac:dyDescent="0.25">
      <c r="A7" s="8" t="s">
        <v>402</v>
      </c>
      <c r="B7" s="6" t="s">
        <v>431</v>
      </c>
      <c r="C7" s="6"/>
      <c r="D7" s="8" t="s">
        <v>402</v>
      </c>
      <c r="E7" s="6" t="s">
        <v>440</v>
      </c>
      <c r="F7" s="6"/>
      <c r="G7" s="8" t="s">
        <v>402</v>
      </c>
      <c r="H7" s="6" t="s">
        <v>434</v>
      </c>
    </row>
    <row r="8" spans="1:9" x14ac:dyDescent="0.25">
      <c r="A8" s="13" t="s">
        <v>103</v>
      </c>
      <c r="B8" s="9">
        <v>2935124</v>
      </c>
      <c r="C8" s="6"/>
      <c r="D8" s="13" t="s">
        <v>416</v>
      </c>
      <c r="E8" s="9">
        <v>1035224</v>
      </c>
      <c r="F8" s="6"/>
      <c r="G8" s="13" t="s">
        <v>26</v>
      </c>
      <c r="H8" s="9">
        <v>9278</v>
      </c>
    </row>
    <row r="9" spans="1:9" x14ac:dyDescent="0.25">
      <c r="A9" s="13" t="s">
        <v>22</v>
      </c>
      <c r="B9" s="9">
        <v>2131423</v>
      </c>
      <c r="C9" s="6"/>
      <c r="D9" s="13" t="s">
        <v>420</v>
      </c>
      <c r="E9" s="9">
        <v>1101096</v>
      </c>
      <c r="F9" s="6"/>
      <c r="G9" s="13" t="s">
        <v>35</v>
      </c>
      <c r="H9" s="9">
        <v>1902</v>
      </c>
    </row>
    <row r="10" spans="1:9" x14ac:dyDescent="0.25">
      <c r="A10" s="13" t="s">
        <v>42</v>
      </c>
      <c r="B10" s="9">
        <v>2444033</v>
      </c>
      <c r="C10" s="6"/>
      <c r="D10" s="13" t="s">
        <v>424</v>
      </c>
      <c r="E10" s="9">
        <v>1078126</v>
      </c>
      <c r="F10" s="6"/>
      <c r="G10" s="13" t="s">
        <v>65</v>
      </c>
      <c r="H10" s="9">
        <v>4206</v>
      </c>
    </row>
    <row r="11" spans="1:9" x14ac:dyDescent="0.25">
      <c r="A11" s="13" t="s">
        <v>57</v>
      </c>
      <c r="B11" s="9">
        <v>3147138</v>
      </c>
      <c r="C11" s="6"/>
      <c r="D11" s="13" t="s">
        <v>414</v>
      </c>
      <c r="E11" s="9">
        <v>1345819</v>
      </c>
      <c r="F11" s="6"/>
      <c r="G11" s="13" t="s">
        <v>403</v>
      </c>
      <c r="H11" s="9">
        <v>15386</v>
      </c>
    </row>
    <row r="12" spans="1:9" x14ac:dyDescent="0.25">
      <c r="A12" s="13" t="s">
        <v>50</v>
      </c>
      <c r="B12" s="9">
        <v>1502375</v>
      </c>
      <c r="C12" s="6"/>
      <c r="D12" s="13" t="s">
        <v>406</v>
      </c>
      <c r="E12" s="9">
        <v>1414647</v>
      </c>
      <c r="F12" s="6"/>
      <c r="G12" s="10"/>
      <c r="H12" s="10"/>
    </row>
    <row r="13" spans="1:9" x14ac:dyDescent="0.25">
      <c r="A13" s="13" t="s">
        <v>403</v>
      </c>
      <c r="B13" s="9">
        <v>12160093</v>
      </c>
      <c r="C13" s="6"/>
      <c r="D13" s="13" t="s">
        <v>419</v>
      </c>
      <c r="E13" s="9">
        <v>991287</v>
      </c>
      <c r="F13" s="6"/>
      <c r="G13" s="8" t="s">
        <v>402</v>
      </c>
      <c r="H13" s="14" t="s">
        <v>442</v>
      </c>
    </row>
    <row r="14" spans="1:9" x14ac:dyDescent="0.25">
      <c r="A14" s="6"/>
      <c r="B14" s="6"/>
      <c r="C14" s="6"/>
      <c r="D14" s="13" t="s">
        <v>418</v>
      </c>
      <c r="E14" s="9">
        <v>971711</v>
      </c>
      <c r="F14" s="6"/>
      <c r="G14" s="13" t="s">
        <v>36</v>
      </c>
      <c r="H14" s="9">
        <v>61285</v>
      </c>
    </row>
    <row r="15" spans="1:9" x14ac:dyDescent="0.25">
      <c r="A15" s="8" t="s">
        <v>402</v>
      </c>
      <c r="B15" s="6" t="s">
        <v>441</v>
      </c>
      <c r="C15" s="6"/>
      <c r="D15" s="13" t="s">
        <v>415</v>
      </c>
      <c r="E15" s="9">
        <v>1055322</v>
      </c>
      <c r="F15" s="6"/>
      <c r="G15" s="13" t="s">
        <v>51</v>
      </c>
      <c r="H15" s="9">
        <v>65201</v>
      </c>
    </row>
    <row r="16" spans="1:9" x14ac:dyDescent="0.25">
      <c r="A16" s="13" t="s">
        <v>46</v>
      </c>
      <c r="B16" s="9">
        <v>1592163</v>
      </c>
      <c r="C16" s="6"/>
      <c r="D16" s="13" t="s">
        <v>417</v>
      </c>
      <c r="E16" s="9">
        <v>957386</v>
      </c>
      <c r="F16" s="6"/>
      <c r="G16" s="13" t="s">
        <v>44</v>
      </c>
      <c r="H16" s="9">
        <v>62198</v>
      </c>
    </row>
    <row r="17" spans="1:8" x14ac:dyDescent="0.25">
      <c r="A17" s="13" t="s">
        <v>68</v>
      </c>
      <c r="B17" s="9">
        <v>5966832</v>
      </c>
      <c r="C17" s="6"/>
      <c r="D17" s="13" t="s">
        <v>423</v>
      </c>
      <c r="E17" s="9">
        <v>600754</v>
      </c>
      <c r="F17" s="6"/>
      <c r="G17" s="13" t="s">
        <v>27</v>
      </c>
      <c r="H17" s="9">
        <v>50779</v>
      </c>
    </row>
    <row r="18" spans="1:8" x14ac:dyDescent="0.25">
      <c r="A18" s="13" t="s">
        <v>30</v>
      </c>
      <c r="B18" s="9">
        <v>288937</v>
      </c>
      <c r="C18" s="6"/>
      <c r="D18" s="13" t="s">
        <v>422</v>
      </c>
      <c r="E18" s="9">
        <v>931911</v>
      </c>
      <c r="F18" s="6"/>
      <c r="G18" s="13" t="s">
        <v>403</v>
      </c>
      <c r="H18" s="9">
        <v>239463</v>
      </c>
    </row>
    <row r="19" spans="1:8" x14ac:dyDescent="0.25">
      <c r="A19" s="13" t="s">
        <v>53</v>
      </c>
      <c r="B19" s="9">
        <v>4312161</v>
      </c>
      <c r="C19" s="6"/>
      <c r="D19" s="13" t="s">
        <v>421</v>
      </c>
      <c r="E19" s="9">
        <v>676810</v>
      </c>
      <c r="F19" s="6"/>
      <c r="G19" s="6"/>
      <c r="H19" s="6"/>
    </row>
    <row r="20" spans="1:8" x14ac:dyDescent="0.25">
      <c r="A20" s="13" t="s">
        <v>403</v>
      </c>
      <c r="B20" s="9">
        <v>12160093</v>
      </c>
      <c r="C20" s="6"/>
      <c r="D20" s="13" t="s">
        <v>403</v>
      </c>
      <c r="E20" s="9">
        <v>12160093</v>
      </c>
      <c r="F20" s="6"/>
      <c r="G20" s="6"/>
      <c r="H20" s="6"/>
    </row>
    <row r="21" spans="1:8" x14ac:dyDescent="0.25">
      <c r="A21" s="10"/>
      <c r="B21" s="10"/>
      <c r="C21" s="6"/>
      <c r="D21" s="6"/>
      <c r="E21" s="6"/>
      <c r="F21" s="6"/>
      <c r="G21" s="6"/>
      <c r="H21" s="6"/>
    </row>
    <row r="22" spans="1:8" x14ac:dyDescent="0.25">
      <c r="A22" s="8" t="s">
        <v>402</v>
      </c>
      <c r="B22" s="6" t="s">
        <v>437</v>
      </c>
      <c r="C22" s="6"/>
      <c r="D22" s="6"/>
      <c r="E22" s="6"/>
      <c r="F22" s="6"/>
      <c r="G22" s="6"/>
      <c r="H22" s="6"/>
    </row>
    <row r="23" spans="1:8" x14ac:dyDescent="0.25">
      <c r="A23" s="13" t="s">
        <v>45</v>
      </c>
      <c r="B23" s="9">
        <v>6091320</v>
      </c>
      <c r="C23" s="6"/>
      <c r="D23" s="6"/>
      <c r="E23" s="6"/>
      <c r="F23" s="6"/>
      <c r="G23" s="6"/>
      <c r="H23" s="6"/>
    </row>
    <row r="24" spans="1:8" x14ac:dyDescent="0.25">
      <c r="A24" s="13" t="s">
        <v>29</v>
      </c>
      <c r="B24" s="9">
        <v>5041142</v>
      </c>
      <c r="C24" s="6"/>
      <c r="D24" s="6"/>
      <c r="E24" s="6"/>
      <c r="F24" s="6"/>
      <c r="G24" s="6"/>
      <c r="H24" s="6"/>
    </row>
    <row r="25" spans="1:8" x14ac:dyDescent="0.25">
      <c r="A25" s="13" t="s">
        <v>38</v>
      </c>
      <c r="B25" s="9">
        <v>1027631</v>
      </c>
      <c r="C25" s="6"/>
      <c r="D25" s="6"/>
      <c r="E25" s="6"/>
      <c r="F25" s="6"/>
      <c r="G25" s="6"/>
      <c r="H25" s="6"/>
    </row>
    <row r="26" spans="1:8" x14ac:dyDescent="0.25">
      <c r="A26" s="13" t="s">
        <v>403</v>
      </c>
      <c r="B26" s="9">
        <v>12160093</v>
      </c>
      <c r="C26" s="6"/>
      <c r="D26" s="6"/>
      <c r="E26" s="6"/>
      <c r="F26" s="6"/>
      <c r="G26" s="6"/>
      <c r="H26" s="6"/>
    </row>
    <row r="31" spans="1:8" s="7" customFormat="1" x14ac:dyDescent="0.25">
      <c r="A31" s="8" t="s">
        <v>402</v>
      </c>
      <c r="B31" s="6" t="s">
        <v>435</v>
      </c>
      <c r="C31" s="6"/>
      <c r="D31" s="8" t="s">
        <v>402</v>
      </c>
      <c r="E31" s="6" t="s">
        <v>433</v>
      </c>
      <c r="F31" s="6"/>
      <c r="G31" s="8" t="s">
        <v>402</v>
      </c>
      <c r="H31" s="6" t="s">
        <v>436</v>
      </c>
    </row>
    <row r="32" spans="1:8" x14ac:dyDescent="0.25">
      <c r="A32" s="13" t="s">
        <v>26</v>
      </c>
      <c r="B32" s="9">
        <v>7494557</v>
      </c>
      <c r="C32" s="10"/>
      <c r="D32" s="13" t="s">
        <v>116</v>
      </c>
      <c r="E32" s="9">
        <v>1141018</v>
      </c>
      <c r="F32" s="10"/>
      <c r="G32" s="13" t="s">
        <v>146</v>
      </c>
      <c r="H32" s="11">
        <v>504</v>
      </c>
    </row>
    <row r="33" spans="1:8" x14ac:dyDescent="0.25">
      <c r="A33" s="13" t="s">
        <v>35</v>
      </c>
      <c r="B33" s="9">
        <v>1440781</v>
      </c>
      <c r="C33" s="10"/>
      <c r="D33" s="13" t="s">
        <v>41</v>
      </c>
      <c r="E33" s="9">
        <v>788055</v>
      </c>
      <c r="F33" s="10"/>
      <c r="G33" s="13" t="s">
        <v>120</v>
      </c>
      <c r="H33" s="11">
        <v>502</v>
      </c>
    </row>
    <row r="34" spans="1:8" x14ac:dyDescent="0.25">
      <c r="A34" s="13" t="s">
        <v>65</v>
      </c>
      <c r="B34" s="9">
        <v>3224755</v>
      </c>
      <c r="C34" s="10"/>
      <c r="D34" s="13" t="s">
        <v>96</v>
      </c>
      <c r="E34" s="9">
        <v>1014148</v>
      </c>
      <c r="F34" s="10"/>
      <c r="G34" s="13" t="s">
        <v>116</v>
      </c>
      <c r="H34" s="11">
        <v>922</v>
      </c>
    </row>
    <row r="35" spans="1:8" x14ac:dyDescent="0.25">
      <c r="A35" s="13" t="s">
        <v>403</v>
      </c>
      <c r="B35" s="9">
        <v>12160093</v>
      </c>
      <c r="C35" s="10"/>
      <c r="D35" s="13" t="s">
        <v>85</v>
      </c>
      <c r="E35" s="9">
        <v>1102922</v>
      </c>
      <c r="F35" s="10"/>
      <c r="G35" s="13" t="s">
        <v>131</v>
      </c>
      <c r="H35" s="11">
        <v>810</v>
      </c>
    </row>
    <row r="36" spans="1:8" x14ac:dyDescent="0.25">
      <c r="A36" s="10"/>
      <c r="B36" s="10"/>
      <c r="C36" s="10"/>
      <c r="D36" s="13" t="s">
        <v>56</v>
      </c>
      <c r="E36" s="9">
        <v>1604206</v>
      </c>
      <c r="F36" s="10"/>
      <c r="G36" s="13" t="s">
        <v>102</v>
      </c>
      <c r="H36" s="11">
        <v>581</v>
      </c>
    </row>
    <row r="37" spans="1:8" x14ac:dyDescent="0.25">
      <c r="A37" s="10"/>
      <c r="B37" s="10"/>
      <c r="C37" s="10"/>
      <c r="D37" s="13" t="s">
        <v>403</v>
      </c>
      <c r="E37" s="9">
        <v>5650349</v>
      </c>
      <c r="F37" s="10"/>
      <c r="G37" s="13" t="s">
        <v>126</v>
      </c>
      <c r="H37" s="11">
        <v>849</v>
      </c>
    </row>
    <row r="38" spans="1:8" x14ac:dyDescent="0.25">
      <c r="A38" s="10"/>
      <c r="B38" s="10"/>
      <c r="C38" s="10"/>
      <c r="D38" s="10"/>
      <c r="E38" s="10"/>
      <c r="F38" s="10"/>
      <c r="G38" s="13" t="s">
        <v>129</v>
      </c>
      <c r="H38" s="11">
        <v>560</v>
      </c>
    </row>
    <row r="39" spans="1:8" x14ac:dyDescent="0.25">
      <c r="A39" s="8" t="s">
        <v>402</v>
      </c>
      <c r="B39" s="6" t="s">
        <v>439</v>
      </c>
      <c r="C39" s="6"/>
      <c r="D39" s="8" t="s">
        <v>402</v>
      </c>
      <c r="E39" s="6" t="s">
        <v>438</v>
      </c>
      <c r="F39" s="10"/>
      <c r="G39" s="13" t="s">
        <v>159</v>
      </c>
      <c r="H39" s="11">
        <v>630</v>
      </c>
    </row>
    <row r="40" spans="1:8" x14ac:dyDescent="0.25">
      <c r="A40" s="13" t="s">
        <v>411</v>
      </c>
      <c r="B40" s="9">
        <v>1619731</v>
      </c>
      <c r="C40" s="10"/>
      <c r="D40" s="13" t="s">
        <v>25</v>
      </c>
      <c r="E40" s="9">
        <v>181448</v>
      </c>
      <c r="F40" s="10"/>
      <c r="G40" s="13" t="s">
        <v>82</v>
      </c>
      <c r="H40" s="11">
        <v>858</v>
      </c>
    </row>
    <row r="41" spans="1:8" x14ac:dyDescent="0.25">
      <c r="A41" s="13" t="s">
        <v>407</v>
      </c>
      <c r="B41" s="9">
        <v>1321284</v>
      </c>
      <c r="C41" s="10"/>
      <c r="D41" s="13" t="s">
        <v>104</v>
      </c>
      <c r="E41" s="9">
        <v>58015</v>
      </c>
      <c r="F41" s="10"/>
      <c r="G41" s="13" t="s">
        <v>41</v>
      </c>
      <c r="H41" s="11">
        <v>1194</v>
      </c>
    </row>
    <row r="42" spans="1:8" x14ac:dyDescent="0.25">
      <c r="A42" s="13" t="s">
        <v>412</v>
      </c>
      <c r="B42" s="9">
        <v>1880213</v>
      </c>
      <c r="C42" s="10"/>
      <c r="D42" s="13" t="s">
        <v>403</v>
      </c>
      <c r="E42" s="9">
        <v>239463</v>
      </c>
      <c r="F42" s="10"/>
      <c r="G42" s="13" t="s">
        <v>96</v>
      </c>
      <c r="H42" s="11">
        <v>1196</v>
      </c>
    </row>
    <row r="43" spans="1:8" x14ac:dyDescent="0.25">
      <c r="A43" s="13" t="s">
        <v>413</v>
      </c>
      <c r="B43" s="9">
        <v>1624061</v>
      </c>
      <c r="C43" s="10"/>
      <c r="D43" s="10"/>
      <c r="E43" s="10"/>
      <c r="F43" s="10"/>
      <c r="G43" s="13" t="s">
        <v>80</v>
      </c>
      <c r="H43" s="11">
        <v>1161</v>
      </c>
    </row>
    <row r="44" spans="1:8" x14ac:dyDescent="0.25">
      <c r="A44" s="13" t="s">
        <v>410</v>
      </c>
      <c r="B44" s="9">
        <v>1724649</v>
      </c>
      <c r="C44" s="10"/>
      <c r="D44" s="10"/>
      <c r="E44" s="10"/>
      <c r="F44" s="10"/>
      <c r="G44" s="13" t="s">
        <v>21</v>
      </c>
      <c r="H44" s="11">
        <v>696</v>
      </c>
    </row>
    <row r="45" spans="1:8" x14ac:dyDescent="0.25">
      <c r="A45" s="13" t="s">
        <v>408</v>
      </c>
      <c r="B45" s="9">
        <v>1997594</v>
      </c>
      <c r="C45" s="10"/>
      <c r="D45" s="10"/>
      <c r="E45" s="10"/>
      <c r="F45" s="10"/>
      <c r="G45" s="13" t="s">
        <v>78</v>
      </c>
      <c r="H45" s="11">
        <v>882</v>
      </c>
    </row>
    <row r="46" spans="1:8" x14ac:dyDescent="0.25">
      <c r="A46" s="13" t="s">
        <v>409</v>
      </c>
      <c r="B46" s="9">
        <v>1992561</v>
      </c>
      <c r="C46" s="10"/>
      <c r="D46" s="10"/>
      <c r="E46" s="10"/>
      <c r="F46" s="10"/>
      <c r="G46" s="13" t="s">
        <v>85</v>
      </c>
      <c r="H46" s="11">
        <v>1050</v>
      </c>
    </row>
    <row r="47" spans="1:8" x14ac:dyDescent="0.25">
      <c r="A47" s="13" t="s">
        <v>403</v>
      </c>
      <c r="B47" s="9">
        <v>12160093</v>
      </c>
      <c r="C47" s="10"/>
      <c r="D47" s="8" t="s">
        <v>402</v>
      </c>
      <c r="E47" s="6" t="s">
        <v>432</v>
      </c>
      <c r="F47" s="10"/>
      <c r="G47" s="13" t="s">
        <v>75</v>
      </c>
      <c r="H47" s="11">
        <v>743</v>
      </c>
    </row>
    <row r="48" spans="1:8" x14ac:dyDescent="0.25">
      <c r="A48" s="10"/>
      <c r="B48" s="10"/>
      <c r="C48" s="10"/>
      <c r="D48" s="13" t="s">
        <v>103</v>
      </c>
      <c r="E48" s="11">
        <v>3430</v>
      </c>
      <c r="F48" s="10"/>
      <c r="G48" s="13" t="s">
        <v>49</v>
      </c>
      <c r="H48" s="11">
        <v>745</v>
      </c>
    </row>
    <row r="49" spans="1:8" x14ac:dyDescent="0.25">
      <c r="A49" s="10"/>
      <c r="B49" s="10"/>
      <c r="C49" s="10"/>
      <c r="D49" s="13" t="s">
        <v>22</v>
      </c>
      <c r="E49" s="11">
        <v>2628</v>
      </c>
      <c r="F49" s="10"/>
      <c r="G49" s="13" t="s">
        <v>64</v>
      </c>
      <c r="H49" s="11">
        <v>633</v>
      </c>
    </row>
    <row r="50" spans="1:8" x14ac:dyDescent="0.25">
      <c r="A50" s="10"/>
      <c r="B50" s="10"/>
      <c r="C50" s="10"/>
      <c r="D50" s="13" t="s">
        <v>42</v>
      </c>
      <c r="E50" s="11">
        <v>3551</v>
      </c>
      <c r="F50" s="10"/>
      <c r="G50" s="13" t="s">
        <v>56</v>
      </c>
      <c r="H50" s="11">
        <v>870</v>
      </c>
    </row>
    <row r="51" spans="1:8" x14ac:dyDescent="0.25">
      <c r="A51" s="10"/>
      <c r="B51" s="10"/>
      <c r="C51" s="10"/>
      <c r="D51" s="13" t="s">
        <v>57</v>
      </c>
      <c r="E51" s="11">
        <v>2798</v>
      </c>
      <c r="F51" s="10"/>
      <c r="G51" s="13" t="s">
        <v>403</v>
      </c>
      <c r="H51" s="11">
        <v>15386</v>
      </c>
    </row>
    <row r="52" spans="1:8" x14ac:dyDescent="0.25">
      <c r="A52" s="10"/>
      <c r="B52" s="10"/>
      <c r="C52" s="10"/>
      <c r="D52" s="13" t="s">
        <v>50</v>
      </c>
      <c r="E52" s="11">
        <v>2979</v>
      </c>
      <c r="F52" s="10"/>
      <c r="G52" s="10"/>
      <c r="H52" s="10"/>
    </row>
    <row r="53" spans="1:8" x14ac:dyDescent="0.25">
      <c r="A53" s="10"/>
      <c r="B53" s="10"/>
      <c r="C53" s="10"/>
      <c r="D53" s="13" t="s">
        <v>403</v>
      </c>
      <c r="E53" s="11">
        <v>15386</v>
      </c>
      <c r="F53" s="10"/>
      <c r="G53" s="10"/>
      <c r="H53"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C0D3-BA80-43C1-AE68-C8EFB891682D}">
  <dimension ref="A1"/>
  <sheetViews>
    <sheetView workbookViewId="0"/>
  </sheetViews>
  <sheetFormatPr defaultRowHeight="1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98E-E1CF-44EF-B407-95A14CDEA96F}">
  <dimension ref="A1"/>
  <sheetViews>
    <sheetView showGridLines="0" showRowColHeaders="0" tabSelected="1" workbookViewId="0">
      <selection activeCell="L30" sqref="L30"/>
    </sheetView>
  </sheetViews>
  <sheetFormatPr defaultRowHeight="1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7D0B-7E30-4133-BB0A-F6317B371914}">
  <dimension ref="A1"/>
  <sheetViews>
    <sheetView showGridLines="0" showRowColHeaders="0" workbookViewId="0">
      <selection activeCell="Q21" sqref="Q21"/>
    </sheetView>
  </sheetViews>
  <sheetFormatPr defaultRowHeight="1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1465C8-15AC-4B80-95F5-DD7D592419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Sales Oirginal Dataset</vt:lpstr>
      <vt:lpstr>Sales Dataset Cleaning</vt:lpstr>
      <vt:lpstr>Pivot Table</vt:lpstr>
      <vt:lpstr>Sheet1</vt:lpstr>
      <vt:lpstr>Dashboard1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Anselem</dc:creator>
  <cp:lastModifiedBy>Mercy Omemgboji</cp:lastModifiedBy>
  <dcterms:created xsi:type="dcterms:W3CDTF">2025-07-07T23:59:21Z</dcterms:created>
  <dcterms:modified xsi:type="dcterms:W3CDTF">2026-09-28T13:17:49Z</dcterms:modified>
</cp:coreProperties>
</file>